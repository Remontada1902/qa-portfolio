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naDasha_redmi\Desktop\"/>
    </mc:Choice>
  </mc:AlternateContent>
  <xr:revisionPtr revIDLastSave="0" documentId="13_ncr:1_{DACD681B-DCCF-4862-97B7-B64FBDF95AB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ject_store manager релиз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4" i="1"/>
  <c r="C7" i="1"/>
  <c r="C10" i="1"/>
  <c r="C13" i="1"/>
  <c r="C16" i="1"/>
  <c r="C19" i="1"/>
  <c r="C22" i="1"/>
  <c r="C27" i="1"/>
  <c r="C29" i="1"/>
  <c r="C32" i="1"/>
  <c r="C36" i="1"/>
  <c r="C38" i="1"/>
  <c r="C40" i="1"/>
  <c r="C42" i="1"/>
  <c r="C44" i="1"/>
  <c r="C46" i="1"/>
  <c r="C48" i="1"/>
  <c r="C50" i="1"/>
  <c r="C52" i="1"/>
  <c r="C55" i="1"/>
  <c r="C58" i="1"/>
  <c r="C60" i="1"/>
  <c r="C62" i="1"/>
  <c r="C64" i="1"/>
  <c r="C66" i="1"/>
  <c r="C70" i="1"/>
  <c r="C73" i="1"/>
  <c r="C76" i="1"/>
  <c r="C79" i="1"/>
  <c r="C83" i="1"/>
  <c r="C86" i="1"/>
  <c r="C89" i="1"/>
  <c r="C92" i="1"/>
  <c r="C95" i="1"/>
  <c r="C98" i="1"/>
  <c r="C101" i="1"/>
  <c r="C104" i="1"/>
  <c r="C106" i="1"/>
  <c r="C108" i="1"/>
  <c r="C112" i="1"/>
  <c r="C115" i="1"/>
  <c r="C118" i="1"/>
  <c r="C121" i="1"/>
  <c r="C125" i="1"/>
  <c r="C128" i="1"/>
  <c r="C131" i="1"/>
  <c r="C134" i="1"/>
  <c r="C137" i="1"/>
  <c r="C140" i="1"/>
  <c r="C143" i="1"/>
  <c r="C146" i="1"/>
  <c r="C149" i="1"/>
  <c r="C152" i="1"/>
  <c r="C156" i="1"/>
  <c r="C159" i="1"/>
  <c r="C162" i="1"/>
  <c r="C166" i="1"/>
  <c r="C170" i="1"/>
  <c r="C173" i="1"/>
  <c r="C176" i="1"/>
  <c r="C179" i="1"/>
</calcChain>
</file>

<file path=xl/sharedStrings.xml><?xml version="1.0" encoding="utf-8"?>
<sst xmlns="http://schemas.openxmlformats.org/spreadsheetml/2006/main" count="1576" uniqueCount="218">
  <si>
    <t>ID</t>
  </si>
  <si>
    <t>Расположение</t>
  </si>
  <si>
    <t>Наименование</t>
  </si>
  <si>
    <t>Предусловия</t>
  </si>
  <si>
    <t>Шаги</t>
  </si>
  <si>
    <t>Постусловия</t>
  </si>
  <si>
    <t>Ожидаемый результат</t>
  </si>
  <si>
    <t>Приоритет</t>
  </si>
  <si>
    <t>Статус</t>
  </si>
  <si>
    <t>75</t>
  </si>
  <si>
    <t>store manager релиз 1 -&gt; Экран регистрации</t>
  </si>
  <si>
    <t/>
  </si>
  <si>
    <t>Средний</t>
  </si>
  <si>
    <t>Готов</t>
  </si>
  <si>
    <t>открыть страницу регистраци http://localhost:8000/register/ и нажать кнопку “Зарегистрируйтесь”</t>
  </si>
  <si>
    <t>открылась форма для регистрации
есть надписи в полях:
•  Подсказка (placeholder): «Email».
•  Подсказка (placeholder): «Имя пользователя».
•  Подсказка (placeholder): «Пароль».</t>
  </si>
  <si>
    <t>72</t>
  </si>
  <si>
    <t>ввести валидные значения Имя пользователя, Email, Пароль нажать Зарегистрироваться</t>
  </si>
  <si>
    <t>успешная регистрация
зеленое уведомление с текстом «Регистрация прошла успешно». и перенаправление на страницу входа</t>
  </si>
  <si>
    <t>73</t>
  </si>
  <si>
    <t>ввести в поле “Имя пользователя” 2 символа
ввести валидные значения: Email, Пароль и нажать Зарегистрироваться</t>
  </si>
  <si>
    <t>отобразилось красное уведомление об ошибке, что введено меньше 3 символов</t>
  </si>
  <si>
    <t>76</t>
  </si>
  <si>
    <t>ввести в поле “Имя пользователя” 51 символ
ввести валидные значения: Email, Пароль и нажать Зарегистрироваться</t>
  </si>
  <si>
    <t>отобразилось красное уведомление об ошибке, что введено больше 50 символов</t>
  </si>
  <si>
    <t>77</t>
  </si>
  <si>
    <t>ввести в поле “email ” невалидное значение (например 1234mail.ru)
ввести валидные значения: Имя пользователя, Пароль и нажать Зарегистрироваться</t>
  </si>
  <si>
    <t>красное уведомление об ошибке - email не соответствует стандартному формату</t>
  </si>
  <si>
    <t>78</t>
  </si>
  <si>
    <t>ввести в поле “email ” значение, ранее зарегистрированное
ввести валидные значения: Имя пользователя, Пароль и нажать Зарегистрироваться</t>
  </si>
  <si>
    <t>красное уведомление об ошибке - email уже зарегистрирован</t>
  </si>
  <si>
    <t>79</t>
  </si>
  <si>
    <t>ввести в поле “пароль” значение, меньше 8 символов
ввести валидные значения: Имя пользователя, email и нажать Зарегистрироваться</t>
  </si>
  <si>
    <t>красное уведомление об ошибке - пароль меньше 8 символов
Пароль должен быть скрыт (знаки вместо символов).</t>
  </si>
  <si>
    <t>80</t>
  </si>
  <si>
    <t>не заполнять поле “пароль”
ввести валидные значения: Имя пользователя, email и нажать Зарегистрироваться</t>
  </si>
  <si>
    <t>уведомление - не заполнено обязательное поле</t>
  </si>
  <si>
    <t>не заполнять поле “имя пользователя”
ввести валидные значения: пароль, email и нажать Зарегистрироваться</t>
  </si>
  <si>
    <t>не заполнять поле “email”
ввести валидные значения: имя пользователя, пароль и нажать Зарегистрироваться</t>
  </si>
  <si>
    <t>81</t>
  </si>
  <si>
    <t>store manager релиз 1 -&gt; Экран авторизации</t>
  </si>
  <si>
    <t>открыть страницу входа http://localhost:8000/login/</t>
  </si>
  <si>
    <t>открыта страница
есть подсказки
•  Подсказка (placeholder): «Email».
•  Подсказка (placeholder): «Пароль».
есть кнопка для перехода на экран регистрации («Нет аккаунта? Зарегистрируйтесь»).
есть кнопка «запомнить меня» для сохранения токена авторизации.</t>
  </si>
  <si>
    <t>82</t>
  </si>
  <si>
    <t>ввести корректный email и пароль</t>
  </si>
  <si>
    <t>есть доступ к системе</t>
  </si>
  <si>
    <t>83</t>
  </si>
  <si>
    <t>ввести некорректный email и корректный пароль</t>
  </si>
  <si>
    <t>выводится красное уведомление об ошибке: «Неверный email или пароль».</t>
  </si>
  <si>
    <t>ввести корректный email и некорректный пароль</t>
  </si>
  <si>
    <t>90</t>
  </si>
  <si>
    <t>открыть экран авторизации в браузере CHROME на ПК</t>
  </si>
  <si>
    <t>экран успешно открыт</t>
  </si>
  <si>
    <t>94</t>
  </si>
  <si>
    <t>открыть экран авторизации в браузере CHROME на мобил</t>
  </si>
  <si>
    <t>91</t>
  </si>
  <si>
    <t>открыть экран авторизации в браузере Firefox на ПК</t>
  </si>
  <si>
    <t>95</t>
  </si>
  <si>
    <t>открыть экран авторизации в браузере Firefox на мобил</t>
  </si>
  <si>
    <t>92</t>
  </si>
  <si>
    <t>открыть экран авторизации в браузере Safari на пк</t>
  </si>
  <si>
    <t>96</t>
  </si>
  <si>
    <t>открыть экран авторизации в браузере Safari на мобил</t>
  </si>
  <si>
    <t>93</t>
  </si>
  <si>
    <t>открыть экран авторизации в браузере Edge на пк</t>
  </si>
  <si>
    <t>97</t>
  </si>
  <si>
    <t>открыть экран авторизации в браузере Edge на мобил</t>
  </si>
  <si>
    <t>98</t>
  </si>
  <si>
    <t>store manager релиз 1 -&gt; Экран управления продуктами</t>
  </si>
  <si>
    <t>Пользователь авторизован в системе.</t>
  </si>
  <si>
    <t>В базе данных есть продукты: Product A (is_available=true), Product B (is_available=true), Product C (is_available=false)</t>
  </si>
  <si>
    <t>Перейти на страницу "Управление продуктами</t>
  </si>
  <si>
    <t>Отображаются только продукты с is_available = true (Product A и Product B). Product C не отображается</t>
  </si>
  <si>
    <t>99</t>
  </si>
  <si>
    <t>авторизоваться в системе</t>
  </si>
  <si>
    <t>отображается Кнопка «Добавить новый продукт»</t>
  </si>
  <si>
    <t>нажать Кнопку «Добавить новый продукт»</t>
  </si>
  <si>
    <t>Открывает модальное окно для создания нового продукта или редактирования.</t>
  </si>
  <si>
    <t>100</t>
  </si>
  <si>
    <t>отображается Заголовок страницы: «Управление продуктами».</t>
  </si>
  <si>
    <t>101</t>
  </si>
  <si>
    <t>84</t>
  </si>
  <si>
    <t>store manager релиз 1 -&gt; Экран супер-админа</t>
  </si>
  <si>
    <t>выполнена авторизация на сайте под ролью супер-админа</t>
  </si>
  <si>
    <t>Доступна Таблица с пользователями и столбцы:
•  ID (UUID).
•  Имя.
•  Email.
•  Роль (супер-админ/обычный пользователь).
таблица поддерживает постраничную навигацию (pagination) (после 10 записей).</t>
  </si>
  <si>
    <t>85</t>
  </si>
  <si>
    <t>Доступна Таблица с пользователями:
Столбцы:
•  ID (UUID).
•  Имя.
•  Email.
•  Роль (супер-админ/обычный пользователь)</t>
  </si>
  <si>
    <t>86</t>
  </si>
  <si>
    <t>выполнить поиск по имени</t>
  </si>
  <si>
    <t>успешный поиск</t>
  </si>
  <si>
    <t>выполнить поиск по email</t>
  </si>
  <si>
    <t>87</t>
  </si>
  <si>
    <t>выполнить фильтр по статусу супер-админ</t>
  </si>
  <si>
    <t>отображены пользователи с ролью супер админ
отсутствует Кнопка «Повысить до супер-админа» в</t>
  </si>
  <si>
    <t>88</t>
  </si>
  <si>
    <t>выполнить фильтр по статусу обычный пользователь</t>
  </si>
  <si>
    <t>отображены пользователи с ролью обычный пользователь
имеется Кнопка «Повысить до супер-админа» в строке каждого пользователя</t>
  </si>
  <si>
    <t>102</t>
  </si>
  <si>
    <t>store manager релиз 1 -&gt; API</t>
  </si>
  <si>
    <t>Самый высокий</t>
  </si>
  <si>
    <t>1. Выполнить POST-запрос на /register/ с валидными name (3-50 символов), email, password (минимум 8 символов)
{
  "name": "Иван Петров",
  "email": "ivan.petrov@example.com",
  "password": "password123"
}</t>
  </si>
  <si>
    <t>Ответ Статус 201 Created.
В ответе сообщение об успешной регистрации</t>
  </si>
  <si>
    <t>выполнить в pfAdmin
SELECT * FROM public.users
ORDER BY id ASC</t>
  </si>
  <si>
    <t>В БД появилась запись с переданными данными
Пароль сохранен в виде bcrypt хеша
Пользователь создан как limited_user
is_superadmin = false</t>
  </si>
  <si>
    <t>103</t>
  </si>
  <si>
    <t>Высокий</t>
  </si>
  <si>
    <t>проверить данные в БД</t>
  </si>
  <si>
    <t>есть пользователь 
{
"name": "Иван Петров",
"email": "ivan.petrov@example.com",
"password": "password123"
}</t>
  </si>
  <si>
    <t>Выполнить POST-запрос на /register/ 
{
"name": "Иван Петров",
"email": "ivan.petrov@example.com",
"password": "password123"
}</t>
  </si>
  <si>
    <t>Получено Сообщение об ошибке, что email уже зарегистрирован
400
{
    "detail": "Email already registered"
}</t>
  </si>
  <si>
    <t>Новый пользователь не создан в БД</t>
  </si>
  <si>
    <t>104</t>
  </si>
  <si>
    <t>1. Выполнить POST-запрос на /register/ с name = 3 пробела
"name": "   ",
"email": "ivan@example.com",
"password": "password123"</t>
  </si>
  <si>
    <t>Статус 422 Validation Error
Сообщение об ошибке валидации имени
"msg": "ensure this value has at least 3 characters",
"type": "value_error.any_str.min_length",
"ctx": {
"limit_value": 3</t>
  </si>
  <si>
    <t>Пользователь отсутствует БД</t>
  </si>
  <si>
    <t>105</t>
  </si>
  <si>
    <t>Выполнить POST-запрос на /register/ с name = 51 символ
{
"name": "ИванПетровааааааааааааап51",
"email": "ivan@example.com",
"password": "password123"
}</t>
  </si>
  <si>
    <t>Статус 422 Validation Error\n2. Сообщение об ошибке валидации имени</t>
  </si>
  <si>
    <t>Пользователь не создан</t>
  </si>
  <si>
    <t>106</t>
  </si>
  <si>
    <t>1. Выполнить POST-запрос на /register/ с email = "not-an-email"
{
  "name": "Тест Тест",
  "email": "not-an-email",
  "password": "password123"
}</t>
  </si>
  <si>
    <t>Статус 422 Validation Error
Сообщение об ошибке валидации email</t>
  </si>
  <si>
    <t>107</t>
  </si>
  <si>
    <t>Выполнить POST-запрос на /register/ с password = 7 символов
{
  "name": "Тест Тест",
  "email": "fail@example.com",
  "password": "1234567"
}</t>
  </si>
  <si>
    <t>Статус 422 Validation Error
Сообщение об ошибке валидации пароля</t>
  </si>
  <si>
    <t>108</t>
  </si>
  <si>
    <t>1. Выполнить POST-запрос на /register/ без поля name (или email, или password)</t>
  </si>
  <si>
    <t>1. Статус 422 Validation Error\n2. Сообщение об ошибке</t>
  </si>
  <si>
    <t>109</t>
  </si>
  <si>
    <t>Пользователь зарегистрирован 
  "email": "ivan.petrov@example.com",
  "password": "password123"</t>
  </si>
  <si>
    <t>Выполнить POST-запрос на /login/
  "email": "ivan.petrov@example.com",
  "password": "password123"</t>
  </si>
  <si>
    <t>Статус 200 OK
В ответе access_token (JWT)\token_type = "bearer"
Время жизни токена 30 минут</t>
  </si>
  <si>
    <t>110</t>
  </si>
  <si>
    <t>Пользователь зарегистрирован 
  "email": "ivan.petrov@example.com",
  "password": "password123"</t>
  </si>
  <si>
    <t>Выполнить POST-запрос на /login/ с email "ivan.petrov@example.com", и неверным паролем</t>
  </si>
  <si>
    <t>Статус 400 Bad Request
Сообщение "Invalid email or password
Токен не выдан</t>
  </si>
  <si>
    <t>111</t>
  </si>
  <si>
    <t>Выполнить POST-запрос на /login/ с email, которого нет в БД
"email": "nonexistent@example.com",
"password": "password123"</t>
  </si>
  <si>
    <t>Статус 400 Bad Request
Сообщение "Invalid email or password
Токен не выдан</t>
  </si>
  <si>
    <t>113</t>
  </si>
  <si>
    <t>Выполнить GET-запрос на /users/ с невалидным токеном в заголовке Authorization</t>
  </si>
  <si>
    <t>ошибка</t>
  </si>
  <si>
    <t>117</t>
  </si>
  <si>
    <t>Супер-админ авторизован</t>
  </si>
  <si>
    <t>Выполнить GET-запрос на /users/ с Bearer токеном супер-админа</t>
  </si>
  <si>
    <t>Статус 200 OK
В ответе список всех пользователей с полями id, name, email, is_superadmin</t>
  </si>
  <si>
    <t>выполнить запрос в pgAdmin</t>
  </si>
  <si>
    <t>сравнить ответ бд с АПИ</t>
  </si>
  <si>
    <t>118</t>
  </si>
  <si>
    <t>Обычный пользователь авторизован</t>
  </si>
  <si>
    <t>Выполнить GET-запрос на /users/ с Bearer токеном обычного пользователя</t>
  </si>
  <si>
    <t>200
данные только о себе</t>
  </si>
  <si>
    <t>115</t>
  </si>
  <si>
    <t>Выполнить PUT-запрос на /users/promote/{user_id} с Bearer токеном обычного пользователя</t>
  </si>
  <si>
    <t>Статус 403 Forbidden\n2. Сообщение "Insufficient rights"</t>
  </si>
  <si>
    <t>116</t>
  </si>
  <si>
    <t>1. Выполнить PUT-запрос от супер админа на /users/promote/{fake_uuid}</t>
  </si>
  <si>
    <t>Статус 404 Not Found\n2. Сообщение "User not found"</t>
  </si>
  <si>
    <t>114</t>
  </si>
  <si>
    <t>Супер-админ выполнил login
в БД Есть обычный пользователь с ID = 47e774da-d0d0-42a7-a157-32b8d0e80033</t>
  </si>
  <si>
    <t>Выполнить PUT-запрос на /users/promote/{47e774da-d0d0-42a7-a157-32b8d0e80033} с Bearer токеном супер-админа</t>
  </si>
  <si>
    <t>Статус 200 OK
Сообщение "User successfully promoted to super admin"</t>
  </si>
  <si>
    <t>выполнить запрос в pdAdmin</t>
  </si>
  <si>
    <t>В БД у пользователя is_superadmin = true</t>
  </si>
  <si>
    <t>119</t>
  </si>
  <si>
    <t>Супер-админ авторизован. Есть другой пользователь с ID = user_id</t>
  </si>
  <si>
    <t>Выполнить PUT-запрос на /users/edit/{user_id} с новыми name и/или email
Bearer токен супер-админа</t>
  </si>
  <si>
    <t>Статус 200 OK
В ответе сообщение "User successfully updated" и поля id, name, email обновленного пользователя</t>
  </si>
  <si>
    <t>120</t>
  </si>
  <si>
    <t>1. Статус 404 Not Found\n2. Сообщение "User not found"</t>
  </si>
  <si>
    <t>1. Выполнить PUT-запрос на /users/edit/{fake_uuid}</t>
  </si>
  <si>
    <t>121</t>
  </si>
  <si>
    <t>1. Статус 403 Forbidden\n2. Сообщение "Insufficient rights"</t>
  </si>
  <si>
    <t>1. Выполнить PUT-запрос на /users/edit/{user_id}</t>
  </si>
  <si>
    <t>135</t>
  </si>
  <si>
    <t>Супер-админ авторизован.</t>
  </si>
  <si>
    <t>Выполнить PUT-запрос на /users/edit/{user_id} с новыми name и/или email для самого себя
Bearer токен супер-админа</t>
  </si>
  <si>
    <t>122</t>
  </si>
  <si>
    <t>Выполнить DELETE-запрос на /users/delete/{user_id} с Bearer токеном супер-админа</t>
  </si>
  <si>
    <t>Статус 200 OK
В ответе сообщение "User successfully deleted" и email удаленного пользователя
Пользователь удален из БД</t>
  </si>
  <si>
    <t>123</t>
  </si>
  <si>
    <t>Выполнить DELETE-запрос на /users/delete/{fake_uuid}</t>
  </si>
  <si>
    <t>Статус 404 Not Found
Сообщение "User not found"</t>
  </si>
  <si>
    <t>124</t>
  </si>
  <si>
    <t>Выполнить DELETE-запрос на /users/delete/{user_id}</t>
  </si>
  <si>
    <t>Статус 403 Forbidden
Сообщение "Insufficient rights"</t>
  </si>
  <si>
    <t>136</t>
  </si>
  <si>
    <t>Выполнить DELETE-запрос от супер-админа самого себя на /users/delete/{user_id} с Bearer токеном супер-админа</t>
  </si>
  <si>
    <t>137</t>
  </si>
  <si>
    <t>Выполнить POST-запрос на /login/
"email": "Ivan.petrov@example.com",
"password": "password123"</t>
  </si>
  <si>
    <t>138</t>
  </si>
  <si>
    <t>Пользователь зарегистрирован
"email": "ivan.petrov@example.com",
"password": "password123"</t>
  </si>
  <si>
    <t>1. Выполнить POST-запрос на /register/ с валидными name (3-50 символов), email, password (минимум 8 символов)
{
"name": "Иван Петров",
"email": "IVAN@example.com",
"password": "password123"
}</t>
  </si>
  <si>
    <t>Ответ Статус 400.
    "detail": "Email already registered"</t>
  </si>
  <si>
    <t>В БД отсутствует запись с переданными данными</t>
  </si>
  <si>
    <t>139</t>
  </si>
  <si>
    <t>супер админ пользователь авторизован
  "email": "ivan@example.com",
  "password": "Password123"в базе его id - 3fa5e5af-40bb-4793-9fd5-63cada0be151</t>
  </si>
  <si>
    <t>Выполнить PUT-запрос на /users/promote/3fa5e5af-40bb-4793-9fd5-63cada0be151 с Bearer токеном супер админ</t>
  </si>
  <si>
    <t>ошибка (403 например)</t>
  </si>
  <si>
    <t>140</t>
  </si>
  <si>
    <t>Выполнить PUT-запрос на /
/users/edit/{user_id}/ с name = 51 символ
  "email": "ivan@example.com",
  "name": "ИванПетровааааааааааааап51"</t>
  </si>
  <si>
    <t>141</t>
  </si>
  <si>
    <t>в базе есть юзер с 
email": "IVAN@example.com</t>
  </si>
  <si>
    <t>Выполнить PUT-запрос на /
/users/edit/{user_id}/ с name = 51 символ
  "email": "IVAN@example.com",
  "name": "ИванПетровааааааааааааап51"</t>
  </si>
  <si>
    <t>Статус 400 например что email уже есть</t>
  </si>
  <si>
    <t>Пользователь не изменен</t>
  </si>
  <si>
    <t>142</t>
  </si>
  <si>
    <t>Выполнить PUT-запрос на /
/users/edit/{user_id}/ с name = 51 символ
  "email": "IVANexample.com",
  "name": "ИванПетровааааааааааааап51"</t>
  </si>
  <si>
    <t>Статус 422
            "msg": "value is not a valid email address",
            "type": "value_error.email"</t>
  </si>
  <si>
    <t>144</t>
  </si>
  <si>
    <t>1. Выполнить POST-запрос на /register/ с name = 6 пробелов
"name": "123456",
"email": "will_rock666@mail.ru",
"password": "      "</t>
  </si>
  <si>
    <t>145</t>
  </si>
  <si>
    <t>Выполнить PUT-запрос на /
/users/edit/{user_id}/ с name = 51 символ
  "email": "ivan@example.com",
  "name": "   "</t>
  </si>
  <si>
    <t>146</t>
  </si>
  <si>
    <t>Выполнить PUT-запрос на /
/users/edit/{user_id}/ с name = 51 символ
  "email": "ivan@example.com",
  "name": ""</t>
  </si>
  <si>
    <t>147</t>
  </si>
  <si>
    <t>Выполнить PUT-запрос на /
/users/edit/{user_id}/ 
user_id - не указывать
  "email": "ivan@example.com",
  "name": "ИванПетровааааааааааааап51"</t>
  </si>
  <si>
    <t>Ошибка 400 об отсутствии 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</si>
</sst>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182" totalsRowShown="0">
  <autoFilter ref="A1:I182" xr:uid="{00000000-0009-0000-0100-000001000000}"/>
  <tableColumns count="9">
    <tableColumn id="1" xr3:uid="{00000000-0010-0000-0000-000001000000}" name="ID"/>
    <tableColumn id="2" xr3:uid="{00000000-0010-0000-0000-000002000000}" name="Расположение"/>
    <tableColumn id="3" xr3:uid="{00000000-0010-0000-0000-000003000000}" name="Наименование"/>
    <tableColumn id="5" xr3:uid="{00000000-0010-0000-0000-000005000000}" name="Предусловия"/>
    <tableColumn id="6" xr3:uid="{00000000-0010-0000-0000-000006000000}" name="Шаги"/>
    <tableColumn id="7" xr3:uid="{00000000-0010-0000-0000-000007000000}" name="Постусловия"/>
    <tableColumn id="8" xr3:uid="{00000000-0010-0000-0000-000008000000}" name="Ожидаемый результат"/>
    <tableColumn id="12" xr3:uid="{00000000-0010-0000-0000-00000C000000}" name="Приоритет"/>
    <tableColumn id="13" xr3:uid="{00000000-0010-0000-0000-00000D000000}" name="Стату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2"/>
  <sheetViews>
    <sheetView tabSelected="1" zoomScale="55" zoomScaleNormal="55" workbookViewId="0">
      <selection activeCell="E8" sqref="E8"/>
    </sheetView>
  </sheetViews>
  <sheetFormatPr defaultColWidth="9.1796875" defaultRowHeight="14.5" x14ac:dyDescent="0.35"/>
  <cols>
    <col min="1" max="1" width="10.7265625" style="1" customWidth="1"/>
    <col min="2" max="3" width="50.7265625" style="2" customWidth="1"/>
    <col min="4" max="5" width="50.7265625" style="1" customWidth="1"/>
    <col min="6" max="6" width="15.08984375" style="1" customWidth="1"/>
    <col min="7" max="7" width="50.7265625" style="1" customWidth="1"/>
    <col min="8" max="8" width="15.81640625" style="1" customWidth="1"/>
    <col min="9" max="9" width="10.7265625" style="1" customWidth="1"/>
    <col min="10" max="10" width="9.1796875" style="1" customWidth="1"/>
    <col min="11" max="16384" width="9.1796875" style="1"/>
  </cols>
  <sheetData>
    <row r="1" spans="1:9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 t="s">
        <v>9</v>
      </c>
      <c r="B2" s="2" t="s">
        <v>10</v>
      </c>
      <c r="C2" s="2" t="str">
        <f>HYPERLINK("https://team-fn99.testit.software/projects/1/tests/75", "открыта форма регистрации")</f>
        <v>открыта форма регистрации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12</v>
      </c>
      <c r="I2" s="1" t="s">
        <v>13</v>
      </c>
    </row>
    <row r="3" spans="1:9" ht="130.5" x14ac:dyDescent="0.35">
      <c r="A3" s="1" t="s">
        <v>11</v>
      </c>
      <c r="B3" s="2" t="s">
        <v>11</v>
      </c>
      <c r="C3" s="2" t="s">
        <v>11</v>
      </c>
      <c r="D3" s="1" t="s">
        <v>11</v>
      </c>
      <c r="E3" s="1" t="s">
        <v>14</v>
      </c>
      <c r="F3" s="1" t="s">
        <v>11</v>
      </c>
      <c r="G3" s="2" t="s">
        <v>15</v>
      </c>
      <c r="H3" s="1" t="s">
        <v>11</v>
      </c>
      <c r="I3" s="1" t="s">
        <v>11</v>
      </c>
    </row>
    <row r="4" spans="1:9" x14ac:dyDescent="0.35">
      <c r="A4" s="1" t="s">
        <v>16</v>
      </c>
      <c r="B4" s="2" t="s">
        <v>10</v>
      </c>
      <c r="C4" s="2" t="str">
        <f>HYPERLINK("https://team-fn99.testit.software/projects/1/tests/72", "UI-1 Успешная регистрация")</f>
        <v>UI-1 Успешная регистрация</v>
      </c>
      <c r="D4" s="1" t="s">
        <v>11</v>
      </c>
      <c r="E4" s="1" t="s">
        <v>11</v>
      </c>
      <c r="F4" s="1" t="s">
        <v>11</v>
      </c>
      <c r="G4" s="1" t="s">
        <v>11</v>
      </c>
      <c r="H4" s="1" t="s">
        <v>12</v>
      </c>
      <c r="I4" s="1" t="s">
        <v>13</v>
      </c>
    </row>
    <row r="5" spans="1:9" ht="130.5" x14ac:dyDescent="0.35">
      <c r="A5" s="1" t="s">
        <v>11</v>
      </c>
      <c r="B5" s="2" t="s">
        <v>11</v>
      </c>
      <c r="C5" s="2" t="s">
        <v>11</v>
      </c>
      <c r="D5" s="1" t="s">
        <v>11</v>
      </c>
      <c r="E5" s="1" t="s">
        <v>14</v>
      </c>
      <c r="F5" s="1" t="s">
        <v>11</v>
      </c>
      <c r="G5" s="2" t="s">
        <v>15</v>
      </c>
      <c r="H5" s="1" t="s">
        <v>11</v>
      </c>
      <c r="I5" s="1" t="s">
        <v>11</v>
      </c>
    </row>
    <row r="6" spans="1:9" ht="43.5" x14ac:dyDescent="0.35">
      <c r="A6" s="1" t="s">
        <v>11</v>
      </c>
      <c r="B6" s="2" t="s">
        <v>11</v>
      </c>
      <c r="C6" s="2" t="s">
        <v>11</v>
      </c>
      <c r="D6" s="1" t="s">
        <v>11</v>
      </c>
      <c r="E6" s="1" t="s">
        <v>17</v>
      </c>
      <c r="F6" s="1" t="s">
        <v>11</v>
      </c>
      <c r="G6" s="2" t="s">
        <v>18</v>
      </c>
      <c r="H6" s="1" t="s">
        <v>11</v>
      </c>
      <c r="I6" s="1" t="s">
        <v>11</v>
      </c>
    </row>
    <row r="7" spans="1:9" x14ac:dyDescent="0.35">
      <c r="A7" s="1" t="s">
        <v>19</v>
      </c>
      <c r="B7" s="2" t="s">
        <v>10</v>
      </c>
      <c r="C7" s="2" t="str">
        <f>HYPERLINK("https://team-fn99.testit.software/projects/1/tests/73", "UI-2 Ошибка регистрации Имя пользователя 2 символа")</f>
        <v>UI-2 Ошибка регистрации Имя пользователя 2 символа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12</v>
      </c>
      <c r="I7" s="1" t="s">
        <v>13</v>
      </c>
    </row>
    <row r="8" spans="1:9" ht="130.5" x14ac:dyDescent="0.35">
      <c r="A8" s="1" t="s">
        <v>11</v>
      </c>
      <c r="B8" s="2" t="s">
        <v>11</v>
      </c>
      <c r="C8" s="2" t="s">
        <v>11</v>
      </c>
      <c r="D8" s="1" t="s">
        <v>11</v>
      </c>
      <c r="E8" s="1" t="s">
        <v>14</v>
      </c>
      <c r="F8" s="1" t="s">
        <v>11</v>
      </c>
      <c r="G8" s="2" t="s">
        <v>15</v>
      </c>
      <c r="H8" s="1" t="s">
        <v>11</v>
      </c>
      <c r="I8" s="1" t="s">
        <v>11</v>
      </c>
    </row>
    <row r="9" spans="1:9" ht="58" x14ac:dyDescent="0.35">
      <c r="A9" s="1" t="s">
        <v>11</v>
      </c>
      <c r="B9" s="2" t="s">
        <v>11</v>
      </c>
      <c r="C9" s="2" t="s">
        <v>11</v>
      </c>
      <c r="D9" s="1" t="s">
        <v>11</v>
      </c>
      <c r="E9" s="2" t="s">
        <v>20</v>
      </c>
      <c r="F9" s="1" t="s">
        <v>11</v>
      </c>
      <c r="G9" s="1" t="s">
        <v>21</v>
      </c>
      <c r="H9" s="1" t="s">
        <v>11</v>
      </c>
      <c r="I9" s="1" t="s">
        <v>11</v>
      </c>
    </row>
    <row r="10" spans="1:9" x14ac:dyDescent="0.35">
      <c r="A10" s="1" t="s">
        <v>22</v>
      </c>
      <c r="B10" s="2" t="s">
        <v>10</v>
      </c>
      <c r="C10" s="2" t="str">
        <f>HYPERLINK("https://team-fn99.testit.software/projects/1/tests/76", "UI-3 Ошибка регистрации Имя пользователя 51 символ")</f>
        <v>UI-3 Ошибка регистрации Имя пользователя 51 символ</v>
      </c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12</v>
      </c>
      <c r="I10" s="1" t="s">
        <v>13</v>
      </c>
    </row>
    <row r="11" spans="1:9" ht="130.5" x14ac:dyDescent="0.35">
      <c r="A11" s="1" t="s">
        <v>11</v>
      </c>
      <c r="B11" s="2" t="s">
        <v>11</v>
      </c>
      <c r="C11" s="2" t="s">
        <v>11</v>
      </c>
      <c r="D11" s="1" t="s">
        <v>11</v>
      </c>
      <c r="E11" s="1" t="s">
        <v>14</v>
      </c>
      <c r="F11" s="1" t="s">
        <v>11</v>
      </c>
      <c r="G11" s="2" t="s">
        <v>15</v>
      </c>
      <c r="H11" s="1" t="s">
        <v>11</v>
      </c>
      <c r="I11" s="1" t="s">
        <v>11</v>
      </c>
    </row>
    <row r="12" spans="1:9" ht="58" x14ac:dyDescent="0.35">
      <c r="A12" s="1" t="s">
        <v>11</v>
      </c>
      <c r="B12" s="2" t="s">
        <v>11</v>
      </c>
      <c r="C12" s="2" t="s">
        <v>11</v>
      </c>
      <c r="D12" s="1" t="s">
        <v>11</v>
      </c>
      <c r="E12" s="2" t="s">
        <v>23</v>
      </c>
      <c r="F12" s="1" t="s">
        <v>11</v>
      </c>
      <c r="G12" s="1" t="s">
        <v>24</v>
      </c>
      <c r="H12" s="1" t="s">
        <v>11</v>
      </c>
      <c r="I12" s="1" t="s">
        <v>11</v>
      </c>
    </row>
    <row r="13" spans="1:9" ht="29" x14ac:dyDescent="0.35">
      <c r="A13" s="1" t="s">
        <v>25</v>
      </c>
      <c r="B13" s="2" t="s">
        <v>10</v>
      </c>
      <c r="C13" s="2" t="str">
        <f>HYPERLINK("https://team-fn99.testit.software/projects/1/tests/77", "UI-4 Ошибка регистрации  “email ” невалидное значение")</f>
        <v>UI-4 Ошибка регистрации  “email ” невалидное значение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12</v>
      </c>
      <c r="I13" s="1" t="s">
        <v>13</v>
      </c>
    </row>
    <row r="14" spans="1:9" ht="130.5" x14ac:dyDescent="0.35">
      <c r="A14" s="1" t="s">
        <v>11</v>
      </c>
      <c r="B14" s="2" t="s">
        <v>11</v>
      </c>
      <c r="C14" s="2" t="s">
        <v>11</v>
      </c>
      <c r="D14" s="1" t="s">
        <v>11</v>
      </c>
      <c r="E14" s="1" t="s">
        <v>14</v>
      </c>
      <c r="F14" s="1" t="s">
        <v>11</v>
      </c>
      <c r="G14" s="2" t="s">
        <v>15</v>
      </c>
      <c r="H14" s="1" t="s">
        <v>11</v>
      </c>
      <c r="I14" s="1" t="s">
        <v>11</v>
      </c>
    </row>
    <row r="15" spans="1:9" ht="72.5" x14ac:dyDescent="0.35">
      <c r="A15" s="1" t="s">
        <v>11</v>
      </c>
      <c r="B15" s="2" t="s">
        <v>11</v>
      </c>
      <c r="C15" s="2" t="s">
        <v>11</v>
      </c>
      <c r="D15" s="1" t="s">
        <v>11</v>
      </c>
      <c r="E15" s="2" t="s">
        <v>26</v>
      </c>
      <c r="F15" s="1" t="s">
        <v>11</v>
      </c>
      <c r="G15" s="1" t="s">
        <v>27</v>
      </c>
      <c r="H15" s="1" t="s">
        <v>11</v>
      </c>
      <c r="I15" s="1" t="s">
        <v>11</v>
      </c>
    </row>
    <row r="16" spans="1:9" x14ac:dyDescent="0.35">
      <c r="A16" s="1" t="s">
        <v>28</v>
      </c>
      <c r="B16" s="2" t="s">
        <v>10</v>
      </c>
      <c r="C16" s="2" t="str">
        <f>HYPERLINK("https://team-fn99.testit.software/projects/1/tests/78", "UI-5 Ошибка регистрации  email уже зарегистрирован")</f>
        <v>UI-5 Ошибка регистрации  email уже зарегистрирован</v>
      </c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12</v>
      </c>
      <c r="I16" s="1" t="s">
        <v>13</v>
      </c>
    </row>
    <row r="17" spans="1:9" ht="130.5" x14ac:dyDescent="0.35">
      <c r="A17" s="1" t="s">
        <v>11</v>
      </c>
      <c r="B17" s="2" t="s">
        <v>11</v>
      </c>
      <c r="C17" s="2" t="s">
        <v>11</v>
      </c>
      <c r="D17" s="1" t="s">
        <v>11</v>
      </c>
      <c r="E17" s="1" t="s">
        <v>14</v>
      </c>
      <c r="F17" s="1" t="s">
        <v>11</v>
      </c>
      <c r="G17" s="2" t="s">
        <v>15</v>
      </c>
      <c r="H17" s="1" t="s">
        <v>11</v>
      </c>
      <c r="I17" s="1" t="s">
        <v>11</v>
      </c>
    </row>
    <row r="18" spans="1:9" ht="72.5" x14ac:dyDescent="0.35">
      <c r="A18" s="1" t="s">
        <v>11</v>
      </c>
      <c r="B18" s="2" t="s">
        <v>11</v>
      </c>
      <c r="C18" s="2" t="s">
        <v>11</v>
      </c>
      <c r="D18" s="1" t="s">
        <v>11</v>
      </c>
      <c r="E18" s="2" t="s">
        <v>29</v>
      </c>
      <c r="F18" s="1" t="s">
        <v>11</v>
      </c>
      <c r="G18" s="1" t="s">
        <v>30</v>
      </c>
      <c r="H18" s="1" t="s">
        <v>11</v>
      </c>
      <c r="I18" s="1" t="s">
        <v>11</v>
      </c>
    </row>
    <row r="19" spans="1:9" x14ac:dyDescent="0.35">
      <c r="A19" s="1" t="s">
        <v>31</v>
      </c>
      <c r="B19" s="2" t="s">
        <v>10</v>
      </c>
      <c r="C19" s="2" t="str">
        <f>HYPERLINK("https://team-fn99.testit.software/projects/1/tests/79", "UI-6 Ошибка регистрации  пароль меньше 8 символов")</f>
        <v>UI-6 Ошибка регистрации  пароль меньше 8 символов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12</v>
      </c>
      <c r="I19" s="1" t="s">
        <v>13</v>
      </c>
    </row>
    <row r="20" spans="1:9" ht="130.5" x14ac:dyDescent="0.35">
      <c r="A20" s="1" t="s">
        <v>11</v>
      </c>
      <c r="B20" s="2" t="s">
        <v>11</v>
      </c>
      <c r="C20" s="2" t="s">
        <v>11</v>
      </c>
      <c r="D20" s="1" t="s">
        <v>11</v>
      </c>
      <c r="E20" s="1" t="s">
        <v>14</v>
      </c>
      <c r="F20" s="1" t="s">
        <v>11</v>
      </c>
      <c r="G20" s="2" t="s">
        <v>15</v>
      </c>
      <c r="H20" s="1" t="s">
        <v>11</v>
      </c>
      <c r="I20" s="1" t="s">
        <v>11</v>
      </c>
    </row>
    <row r="21" spans="1:9" ht="58" x14ac:dyDescent="0.35">
      <c r="A21" s="1" t="s">
        <v>11</v>
      </c>
      <c r="B21" s="2" t="s">
        <v>11</v>
      </c>
      <c r="C21" s="2" t="s">
        <v>11</v>
      </c>
      <c r="D21" s="1" t="s">
        <v>11</v>
      </c>
      <c r="E21" s="2" t="s">
        <v>32</v>
      </c>
      <c r="F21" s="1" t="s">
        <v>11</v>
      </c>
      <c r="G21" s="2" t="s">
        <v>33</v>
      </c>
      <c r="H21" s="1" t="s">
        <v>11</v>
      </c>
      <c r="I21" s="1" t="s">
        <v>11</v>
      </c>
    </row>
    <row r="22" spans="1:9" ht="29" x14ac:dyDescent="0.35">
      <c r="A22" s="1" t="s">
        <v>34</v>
      </c>
      <c r="B22" s="2" t="s">
        <v>10</v>
      </c>
      <c r="C22" s="2" t="str">
        <f>HYPERLINK("https://team-fn99.testit.software/projects/1/tests/80", "UI-7 Ошибка регистрации не заполнено обязательное поле")</f>
        <v>UI-7 Ошибка регистрации не заполнено обязательное поле</v>
      </c>
      <c r="D22" s="1" t="s">
        <v>11</v>
      </c>
      <c r="E22" s="1" t="s">
        <v>11</v>
      </c>
      <c r="F22" s="1" t="s">
        <v>11</v>
      </c>
      <c r="G22" s="1" t="s">
        <v>11</v>
      </c>
      <c r="H22" s="1" t="s">
        <v>12</v>
      </c>
      <c r="I22" s="1" t="s">
        <v>13</v>
      </c>
    </row>
    <row r="23" spans="1:9" ht="130.5" x14ac:dyDescent="0.35">
      <c r="A23" s="1" t="s">
        <v>11</v>
      </c>
      <c r="B23" s="2" t="s">
        <v>11</v>
      </c>
      <c r="C23" s="2" t="s">
        <v>11</v>
      </c>
      <c r="D23" s="1" t="s">
        <v>11</v>
      </c>
      <c r="E23" s="1" t="s">
        <v>14</v>
      </c>
      <c r="F23" s="1" t="s">
        <v>11</v>
      </c>
      <c r="G23" s="2" t="s">
        <v>15</v>
      </c>
      <c r="H23" s="1" t="s">
        <v>11</v>
      </c>
      <c r="I23" s="1" t="s">
        <v>11</v>
      </c>
    </row>
    <row r="24" spans="1:9" ht="58" x14ac:dyDescent="0.35">
      <c r="A24" s="1" t="s">
        <v>11</v>
      </c>
      <c r="B24" s="2" t="s">
        <v>11</v>
      </c>
      <c r="C24" s="2" t="s">
        <v>11</v>
      </c>
      <c r="D24" s="1" t="s">
        <v>11</v>
      </c>
      <c r="E24" s="2" t="s">
        <v>35</v>
      </c>
      <c r="F24" s="1" t="s">
        <v>11</v>
      </c>
      <c r="G24" s="1" t="s">
        <v>36</v>
      </c>
      <c r="H24" s="1" t="s">
        <v>11</v>
      </c>
      <c r="I24" s="1" t="s">
        <v>11</v>
      </c>
    </row>
    <row r="25" spans="1:9" ht="58" x14ac:dyDescent="0.35">
      <c r="A25" s="1" t="s">
        <v>11</v>
      </c>
      <c r="B25" s="2" t="s">
        <v>11</v>
      </c>
      <c r="C25" s="2" t="s">
        <v>11</v>
      </c>
      <c r="D25" s="1" t="s">
        <v>11</v>
      </c>
      <c r="E25" s="2" t="s">
        <v>37</v>
      </c>
      <c r="F25" s="1" t="s">
        <v>11</v>
      </c>
      <c r="G25" s="1" t="s">
        <v>36</v>
      </c>
      <c r="H25" s="1" t="s">
        <v>11</v>
      </c>
      <c r="I25" s="1" t="s">
        <v>11</v>
      </c>
    </row>
    <row r="26" spans="1:9" ht="58" x14ac:dyDescent="0.35">
      <c r="A26" s="1" t="s">
        <v>11</v>
      </c>
      <c r="B26" s="2" t="s">
        <v>11</v>
      </c>
      <c r="C26" s="2" t="s">
        <v>11</v>
      </c>
      <c r="D26" s="1" t="s">
        <v>11</v>
      </c>
      <c r="E26" s="2" t="s">
        <v>38</v>
      </c>
      <c r="F26" s="1" t="s">
        <v>11</v>
      </c>
      <c r="G26" s="1" t="s">
        <v>36</v>
      </c>
      <c r="H26" s="1" t="s">
        <v>11</v>
      </c>
      <c r="I26" s="1" t="s">
        <v>11</v>
      </c>
    </row>
    <row r="27" spans="1:9" x14ac:dyDescent="0.35">
      <c r="A27" s="1" t="s">
        <v>39</v>
      </c>
      <c r="B27" s="2" t="s">
        <v>40</v>
      </c>
      <c r="C27" s="2" t="str">
        <f>HYPERLINK("https://team-fn99.testit.software/projects/1/tests/81", "логин")</f>
        <v>логин</v>
      </c>
      <c r="D27" s="1" t="s">
        <v>11</v>
      </c>
      <c r="E27" s="1" t="s">
        <v>11</v>
      </c>
      <c r="F27" s="1" t="s">
        <v>11</v>
      </c>
      <c r="G27" s="1" t="s">
        <v>11</v>
      </c>
      <c r="H27" s="1" t="s">
        <v>12</v>
      </c>
      <c r="I27" s="1" t="s">
        <v>13</v>
      </c>
    </row>
    <row r="28" spans="1:9" ht="188.5" x14ac:dyDescent="0.35">
      <c r="A28" s="1" t="s">
        <v>11</v>
      </c>
      <c r="B28" s="2" t="s">
        <v>11</v>
      </c>
      <c r="C28" s="2" t="s">
        <v>11</v>
      </c>
      <c r="D28" s="1" t="s">
        <v>11</v>
      </c>
      <c r="E28" s="1" t="s">
        <v>41</v>
      </c>
      <c r="F28" s="1" t="s">
        <v>11</v>
      </c>
      <c r="G28" s="2" t="s">
        <v>42</v>
      </c>
      <c r="H28" s="1" t="s">
        <v>11</v>
      </c>
      <c r="I28" s="1" t="s">
        <v>11</v>
      </c>
    </row>
    <row r="29" spans="1:9" x14ac:dyDescent="0.35">
      <c r="A29" s="1" t="s">
        <v>43</v>
      </c>
      <c r="B29" s="2" t="s">
        <v>40</v>
      </c>
      <c r="C29" s="2" t="str">
        <f>HYPERLINK("https://team-fn99.testit.software/projects/1/tests/82", "UI-8 Авторизация - успешная")</f>
        <v>UI-8 Авторизация - успешная</v>
      </c>
      <c r="D29" s="1" t="s">
        <v>11</v>
      </c>
      <c r="E29" s="1" t="s">
        <v>11</v>
      </c>
      <c r="F29" s="1" t="s">
        <v>11</v>
      </c>
      <c r="G29" s="1" t="s">
        <v>11</v>
      </c>
      <c r="H29" s="1" t="s">
        <v>12</v>
      </c>
      <c r="I29" s="1" t="s">
        <v>13</v>
      </c>
    </row>
    <row r="30" spans="1:9" ht="188.5" x14ac:dyDescent="0.35">
      <c r="A30" s="1" t="s">
        <v>11</v>
      </c>
      <c r="B30" s="2" t="s">
        <v>11</v>
      </c>
      <c r="C30" s="2" t="s">
        <v>11</v>
      </c>
      <c r="D30" s="1" t="s">
        <v>11</v>
      </c>
      <c r="E30" s="1" t="s">
        <v>41</v>
      </c>
      <c r="F30" s="1" t="s">
        <v>11</v>
      </c>
      <c r="G30" s="2" t="s">
        <v>42</v>
      </c>
      <c r="H30" s="1" t="s">
        <v>11</v>
      </c>
      <c r="I30" s="1" t="s">
        <v>11</v>
      </c>
    </row>
    <row r="31" spans="1:9" x14ac:dyDescent="0.35">
      <c r="A31" s="1" t="s">
        <v>11</v>
      </c>
      <c r="B31" s="2" t="s">
        <v>11</v>
      </c>
      <c r="C31" s="2" t="s">
        <v>11</v>
      </c>
      <c r="D31" s="1" t="s">
        <v>11</v>
      </c>
      <c r="E31" s="1" t="s">
        <v>44</v>
      </c>
      <c r="F31" s="1" t="s">
        <v>11</v>
      </c>
      <c r="G31" s="1" t="s">
        <v>45</v>
      </c>
      <c r="H31" s="1" t="s">
        <v>11</v>
      </c>
      <c r="I31" s="1" t="s">
        <v>11</v>
      </c>
    </row>
    <row r="32" spans="1:9" x14ac:dyDescent="0.35">
      <c r="A32" s="1" t="s">
        <v>46</v>
      </c>
      <c r="B32" s="2" t="s">
        <v>40</v>
      </c>
      <c r="C32" s="2" t="str">
        <f>HYPERLINK("https://team-fn99.testit.software/projects/1/tests/83", "UI-9 Авторизация - ошибка ")</f>
        <v xml:space="preserve">UI-9 Авторизация - ошибка </v>
      </c>
      <c r="D32" s="1" t="s">
        <v>11</v>
      </c>
      <c r="E32" s="1" t="s">
        <v>11</v>
      </c>
      <c r="F32" s="1" t="s">
        <v>11</v>
      </c>
      <c r="G32" s="1" t="s">
        <v>11</v>
      </c>
      <c r="H32" s="1" t="s">
        <v>12</v>
      </c>
      <c r="I32" s="1" t="s">
        <v>13</v>
      </c>
    </row>
    <row r="33" spans="1:9" ht="188.5" x14ac:dyDescent="0.35">
      <c r="A33" s="1" t="s">
        <v>11</v>
      </c>
      <c r="B33" s="2" t="s">
        <v>11</v>
      </c>
      <c r="C33" s="2" t="s">
        <v>11</v>
      </c>
      <c r="D33" s="1" t="s">
        <v>11</v>
      </c>
      <c r="E33" s="1" t="s">
        <v>41</v>
      </c>
      <c r="F33" s="1" t="s">
        <v>11</v>
      </c>
      <c r="G33" s="2" t="s">
        <v>42</v>
      </c>
      <c r="H33" s="1" t="s">
        <v>11</v>
      </c>
      <c r="I33" s="1" t="s">
        <v>11</v>
      </c>
    </row>
    <row r="34" spans="1:9" x14ac:dyDescent="0.35">
      <c r="A34" s="1" t="s">
        <v>11</v>
      </c>
      <c r="B34" s="2" t="s">
        <v>11</v>
      </c>
      <c r="C34" s="2" t="s">
        <v>11</v>
      </c>
      <c r="D34" s="1" t="s">
        <v>11</v>
      </c>
      <c r="E34" s="1" t="s">
        <v>47</v>
      </c>
      <c r="F34" s="1" t="s">
        <v>11</v>
      </c>
      <c r="G34" s="1" t="s">
        <v>48</v>
      </c>
      <c r="H34" s="1" t="s">
        <v>11</v>
      </c>
      <c r="I34" s="1" t="s">
        <v>11</v>
      </c>
    </row>
    <row r="35" spans="1:9" x14ac:dyDescent="0.35">
      <c r="A35" s="1" t="s">
        <v>11</v>
      </c>
      <c r="B35" s="2" t="s">
        <v>11</v>
      </c>
      <c r="C35" s="2" t="s">
        <v>11</v>
      </c>
      <c r="D35" s="1" t="s">
        <v>11</v>
      </c>
      <c r="E35" s="1" t="s">
        <v>49</v>
      </c>
      <c r="F35" s="1" t="s">
        <v>11</v>
      </c>
      <c r="G35" s="1" t="s">
        <v>48</v>
      </c>
      <c r="H35" s="1" t="s">
        <v>11</v>
      </c>
      <c r="I35" s="1" t="s">
        <v>11</v>
      </c>
    </row>
    <row r="36" spans="1:9" x14ac:dyDescent="0.35">
      <c r="A36" s="1" t="s">
        <v>50</v>
      </c>
      <c r="B36" s="2" t="s">
        <v>40</v>
      </c>
      <c r="C36" s="2" t="str">
        <f>HYPERLINK("https://team-fn99.testit.software/projects/1/tests/90", "Открытие экрана авторизации в Chrome на ПК")</f>
        <v>Открытие экрана авторизации в Chrome на ПК</v>
      </c>
      <c r="D36" s="1" t="s">
        <v>11</v>
      </c>
      <c r="E36" s="1" t="s">
        <v>11</v>
      </c>
      <c r="F36" s="1" t="s">
        <v>11</v>
      </c>
      <c r="G36" s="1" t="s">
        <v>11</v>
      </c>
      <c r="H36" s="1" t="s">
        <v>12</v>
      </c>
      <c r="I36" s="1" t="s">
        <v>13</v>
      </c>
    </row>
    <row r="37" spans="1:9" x14ac:dyDescent="0.35">
      <c r="A37" s="1" t="s">
        <v>11</v>
      </c>
      <c r="B37" s="2" t="s">
        <v>11</v>
      </c>
      <c r="C37" s="2" t="s">
        <v>11</v>
      </c>
      <c r="D37" s="1" t="s">
        <v>11</v>
      </c>
      <c r="E37" s="1" t="s">
        <v>51</v>
      </c>
      <c r="F37" s="1" t="s">
        <v>11</v>
      </c>
      <c r="G37" s="1" t="s">
        <v>52</v>
      </c>
      <c r="H37" s="1" t="s">
        <v>11</v>
      </c>
      <c r="I37" s="1" t="s">
        <v>11</v>
      </c>
    </row>
    <row r="38" spans="1:9" x14ac:dyDescent="0.35">
      <c r="A38" s="1" t="s">
        <v>53</v>
      </c>
      <c r="B38" s="2" t="s">
        <v>40</v>
      </c>
      <c r="C38" s="2" t="str">
        <f>HYPERLINK("https://team-fn99.testit.software/projects/1/tests/94", "Открытие экрана авторизации в Chrome на мобил")</f>
        <v>Открытие экрана авторизации в Chrome на мобил</v>
      </c>
      <c r="D38" s="1" t="s">
        <v>11</v>
      </c>
      <c r="E38" s="1" t="s">
        <v>11</v>
      </c>
      <c r="F38" s="1" t="s">
        <v>11</v>
      </c>
      <c r="G38" s="1" t="s">
        <v>11</v>
      </c>
      <c r="H38" s="1" t="s">
        <v>12</v>
      </c>
      <c r="I38" s="1" t="s">
        <v>13</v>
      </c>
    </row>
    <row r="39" spans="1:9" x14ac:dyDescent="0.35">
      <c r="A39" s="1" t="s">
        <v>11</v>
      </c>
      <c r="B39" s="2" t="s">
        <v>11</v>
      </c>
      <c r="C39" s="2" t="s">
        <v>11</v>
      </c>
      <c r="D39" s="1" t="s">
        <v>11</v>
      </c>
      <c r="E39" s="1" t="s">
        <v>54</v>
      </c>
      <c r="F39" s="1" t="s">
        <v>11</v>
      </c>
      <c r="G39" s="1" t="s">
        <v>52</v>
      </c>
      <c r="H39" s="1" t="s">
        <v>11</v>
      </c>
      <c r="I39" s="1" t="s">
        <v>11</v>
      </c>
    </row>
    <row r="40" spans="1:9" x14ac:dyDescent="0.35">
      <c r="A40" s="1" t="s">
        <v>55</v>
      </c>
      <c r="B40" s="2" t="s">
        <v>40</v>
      </c>
      <c r="C40" s="2" t="str">
        <f>HYPERLINK("https://team-fn99.testit.software/projects/1/tests/91", "Открытие экрана авторизации в Firefox на ПК")</f>
        <v>Открытие экрана авторизации в Firefox на ПК</v>
      </c>
      <c r="D40" s="1" t="s">
        <v>11</v>
      </c>
      <c r="E40" s="1" t="s">
        <v>11</v>
      </c>
      <c r="F40" s="1" t="s">
        <v>11</v>
      </c>
      <c r="G40" s="1" t="s">
        <v>11</v>
      </c>
      <c r="H40" s="1" t="s">
        <v>12</v>
      </c>
      <c r="I40" s="1" t="s">
        <v>13</v>
      </c>
    </row>
    <row r="41" spans="1:9" x14ac:dyDescent="0.35">
      <c r="A41" s="1" t="s">
        <v>11</v>
      </c>
      <c r="B41" s="2" t="s">
        <v>11</v>
      </c>
      <c r="C41" s="2" t="s">
        <v>11</v>
      </c>
      <c r="D41" s="1" t="s">
        <v>11</v>
      </c>
      <c r="E41" s="1" t="s">
        <v>56</v>
      </c>
      <c r="F41" s="1" t="s">
        <v>11</v>
      </c>
      <c r="G41" s="1" t="s">
        <v>52</v>
      </c>
      <c r="H41" s="1" t="s">
        <v>11</v>
      </c>
      <c r="I41" s="1" t="s">
        <v>11</v>
      </c>
    </row>
    <row r="42" spans="1:9" x14ac:dyDescent="0.35">
      <c r="A42" s="1" t="s">
        <v>57</v>
      </c>
      <c r="B42" s="2" t="s">
        <v>40</v>
      </c>
      <c r="C42" s="2" t="str">
        <f>HYPERLINK("https://team-fn99.testit.software/projects/1/tests/95", "Открытие экрана авторизации в Firefox на мобил")</f>
        <v>Открытие экрана авторизации в Firefox на мобил</v>
      </c>
      <c r="D42" s="1" t="s">
        <v>11</v>
      </c>
      <c r="E42" s="1" t="s">
        <v>11</v>
      </c>
      <c r="F42" s="1" t="s">
        <v>11</v>
      </c>
      <c r="G42" s="1" t="s">
        <v>11</v>
      </c>
      <c r="H42" s="1" t="s">
        <v>12</v>
      </c>
      <c r="I42" s="1" t="s">
        <v>13</v>
      </c>
    </row>
    <row r="43" spans="1:9" x14ac:dyDescent="0.35">
      <c r="A43" s="1" t="s">
        <v>11</v>
      </c>
      <c r="B43" s="2" t="s">
        <v>11</v>
      </c>
      <c r="C43" s="2" t="s">
        <v>11</v>
      </c>
      <c r="D43" s="1" t="s">
        <v>11</v>
      </c>
      <c r="E43" s="1" t="s">
        <v>58</v>
      </c>
      <c r="F43" s="1" t="s">
        <v>11</v>
      </c>
      <c r="G43" s="1" t="s">
        <v>52</v>
      </c>
      <c r="H43" s="1" t="s">
        <v>11</v>
      </c>
      <c r="I43" s="1" t="s">
        <v>11</v>
      </c>
    </row>
    <row r="44" spans="1:9" x14ac:dyDescent="0.35">
      <c r="A44" s="1" t="s">
        <v>59</v>
      </c>
      <c r="B44" s="2" t="s">
        <v>40</v>
      </c>
      <c r="C44" s="2" t="str">
        <f>HYPERLINK("https://team-fn99.testit.software/projects/1/tests/92", "Открытие экрана авторизации в Safari на пк")</f>
        <v>Открытие экрана авторизации в Safari на пк</v>
      </c>
      <c r="D44" s="1" t="s">
        <v>11</v>
      </c>
      <c r="E44" s="1" t="s">
        <v>11</v>
      </c>
      <c r="F44" s="1" t="s">
        <v>11</v>
      </c>
      <c r="G44" s="1" t="s">
        <v>11</v>
      </c>
      <c r="H44" s="1" t="s">
        <v>12</v>
      </c>
      <c r="I44" s="1" t="s">
        <v>13</v>
      </c>
    </row>
    <row r="45" spans="1:9" x14ac:dyDescent="0.35">
      <c r="A45" s="1" t="s">
        <v>11</v>
      </c>
      <c r="B45" s="2" t="s">
        <v>11</v>
      </c>
      <c r="C45" s="2" t="s">
        <v>11</v>
      </c>
      <c r="D45" s="1" t="s">
        <v>11</v>
      </c>
      <c r="E45" s="1" t="s">
        <v>60</v>
      </c>
      <c r="F45" s="1" t="s">
        <v>11</v>
      </c>
      <c r="G45" s="1" t="s">
        <v>52</v>
      </c>
      <c r="H45" s="1" t="s">
        <v>11</v>
      </c>
      <c r="I45" s="1" t="s">
        <v>11</v>
      </c>
    </row>
    <row r="46" spans="1:9" x14ac:dyDescent="0.35">
      <c r="A46" s="1" t="s">
        <v>61</v>
      </c>
      <c r="B46" s="2" t="s">
        <v>40</v>
      </c>
      <c r="C46" s="2" t="str">
        <f>HYPERLINK("https://team-fn99.testit.software/projects/1/tests/96", "Открытие экрана авторизации в Safari на мобил")</f>
        <v>Открытие экрана авторизации в Safari на мобил</v>
      </c>
      <c r="D46" s="1" t="s">
        <v>11</v>
      </c>
      <c r="E46" s="1" t="s">
        <v>11</v>
      </c>
      <c r="F46" s="1" t="s">
        <v>11</v>
      </c>
      <c r="G46" s="1" t="s">
        <v>11</v>
      </c>
      <c r="H46" s="1" t="s">
        <v>12</v>
      </c>
      <c r="I46" s="1" t="s">
        <v>13</v>
      </c>
    </row>
    <row r="47" spans="1:9" x14ac:dyDescent="0.35">
      <c r="A47" s="1" t="s">
        <v>11</v>
      </c>
      <c r="B47" s="2" t="s">
        <v>11</v>
      </c>
      <c r="C47" s="2" t="s">
        <v>11</v>
      </c>
      <c r="D47" s="1" t="s">
        <v>11</v>
      </c>
      <c r="E47" s="1" t="s">
        <v>62</v>
      </c>
      <c r="F47" s="1" t="s">
        <v>11</v>
      </c>
      <c r="G47" s="1" t="s">
        <v>52</v>
      </c>
      <c r="H47" s="1" t="s">
        <v>11</v>
      </c>
      <c r="I47" s="1" t="s">
        <v>11</v>
      </c>
    </row>
    <row r="48" spans="1:9" x14ac:dyDescent="0.35">
      <c r="A48" s="1" t="s">
        <v>63</v>
      </c>
      <c r="B48" s="2" t="s">
        <v>40</v>
      </c>
      <c r="C48" s="2" t="str">
        <f>HYPERLINK("https://team-fn99.testit.software/projects/1/tests/93", "Открытие экрана авторизации в Edge на пк")</f>
        <v>Открытие экрана авторизации в Edge на пк</v>
      </c>
      <c r="D48" s="1" t="s">
        <v>11</v>
      </c>
      <c r="E48" s="1" t="s">
        <v>11</v>
      </c>
      <c r="F48" s="1" t="s">
        <v>11</v>
      </c>
      <c r="G48" s="1" t="s">
        <v>11</v>
      </c>
      <c r="H48" s="1" t="s">
        <v>12</v>
      </c>
      <c r="I48" s="1" t="s">
        <v>13</v>
      </c>
    </row>
    <row r="49" spans="1:9" x14ac:dyDescent="0.35">
      <c r="A49" s="1" t="s">
        <v>11</v>
      </c>
      <c r="B49" s="2" t="s">
        <v>11</v>
      </c>
      <c r="C49" s="2" t="s">
        <v>11</v>
      </c>
      <c r="D49" s="1" t="s">
        <v>11</v>
      </c>
      <c r="E49" s="1" t="s">
        <v>64</v>
      </c>
      <c r="F49" s="1" t="s">
        <v>11</v>
      </c>
      <c r="G49" s="1" t="s">
        <v>52</v>
      </c>
      <c r="H49" s="1" t="s">
        <v>11</v>
      </c>
      <c r="I49" s="1" t="s">
        <v>11</v>
      </c>
    </row>
    <row r="50" spans="1:9" x14ac:dyDescent="0.35">
      <c r="A50" s="1" t="s">
        <v>65</v>
      </c>
      <c r="B50" s="2" t="s">
        <v>40</v>
      </c>
      <c r="C50" s="2" t="str">
        <f>HYPERLINK("https://team-fn99.testit.software/projects/1/tests/97", "Открытие экрана авторизации в Edge на мобил")</f>
        <v>Открытие экрана авторизации в Edge на мобил</v>
      </c>
      <c r="D50" s="1" t="s">
        <v>11</v>
      </c>
      <c r="E50" s="1" t="s">
        <v>11</v>
      </c>
      <c r="F50" s="1" t="s">
        <v>11</v>
      </c>
      <c r="G50" s="1" t="s">
        <v>11</v>
      </c>
      <c r="H50" s="1" t="s">
        <v>12</v>
      </c>
      <c r="I50" s="1" t="s">
        <v>13</v>
      </c>
    </row>
    <row r="51" spans="1:9" x14ac:dyDescent="0.35">
      <c r="A51" s="1" t="s">
        <v>11</v>
      </c>
      <c r="B51" s="2" t="s">
        <v>11</v>
      </c>
      <c r="C51" s="2" t="s">
        <v>11</v>
      </c>
      <c r="D51" s="1" t="s">
        <v>11</v>
      </c>
      <c r="E51" s="1" t="s">
        <v>66</v>
      </c>
      <c r="F51" s="1" t="s">
        <v>11</v>
      </c>
      <c r="G51" s="1" t="s">
        <v>52</v>
      </c>
      <c r="H51" s="1" t="s">
        <v>11</v>
      </c>
      <c r="I51" s="1" t="s">
        <v>11</v>
      </c>
    </row>
    <row r="52" spans="1:9" x14ac:dyDescent="0.35">
      <c r="A52" s="1" t="s">
        <v>67</v>
      </c>
      <c r="B52" s="2" t="s">
        <v>68</v>
      </c>
      <c r="C52" s="2" t="str">
        <f>HYPERLINK("https://team-fn99.testit.software/projects/1/tests/98", "Отображение только одобренных продуктов")</f>
        <v>Отображение только одобренных продуктов</v>
      </c>
      <c r="D52" s="1" t="s">
        <v>11</v>
      </c>
      <c r="E52" s="1" t="s">
        <v>11</v>
      </c>
      <c r="F52" s="1" t="s">
        <v>11</v>
      </c>
      <c r="G52" s="1" t="s">
        <v>11</v>
      </c>
      <c r="H52" s="1" t="s">
        <v>12</v>
      </c>
      <c r="I52" s="1" t="s">
        <v>13</v>
      </c>
    </row>
    <row r="53" spans="1:9" x14ac:dyDescent="0.35">
      <c r="A53" s="1" t="s">
        <v>11</v>
      </c>
      <c r="B53" s="2" t="s">
        <v>11</v>
      </c>
      <c r="C53" s="2" t="s">
        <v>11</v>
      </c>
      <c r="D53" s="1" t="s">
        <v>69</v>
      </c>
      <c r="E53" s="1" t="s">
        <v>11</v>
      </c>
      <c r="F53" s="1" t="s">
        <v>11</v>
      </c>
      <c r="G53" s="1" t="s">
        <v>70</v>
      </c>
      <c r="H53" s="1" t="s">
        <v>11</v>
      </c>
      <c r="I53" s="1" t="s">
        <v>11</v>
      </c>
    </row>
    <row r="54" spans="1:9" x14ac:dyDescent="0.35">
      <c r="A54" s="1" t="s">
        <v>11</v>
      </c>
      <c r="B54" s="2" t="s">
        <v>11</v>
      </c>
      <c r="C54" s="2" t="s">
        <v>11</v>
      </c>
      <c r="D54" s="1" t="s">
        <v>11</v>
      </c>
      <c r="E54" s="1" t="s">
        <v>71</v>
      </c>
      <c r="F54" s="1" t="s">
        <v>11</v>
      </c>
      <c r="G54" s="1" t="s">
        <v>72</v>
      </c>
      <c r="H54" s="1" t="s">
        <v>11</v>
      </c>
      <c r="I54" s="1" t="s">
        <v>11</v>
      </c>
    </row>
    <row r="55" spans="1:9" x14ac:dyDescent="0.35">
      <c r="A55" s="1" t="s">
        <v>73</v>
      </c>
      <c r="B55" s="2" t="s">
        <v>68</v>
      </c>
      <c r="C55" s="2" t="str">
        <f>HYPERLINK("https://team-fn99.testit.software/projects/1/tests/99", "«Добавить новый продукт»")</f>
        <v>«Добавить новый продукт»</v>
      </c>
      <c r="D55" s="1" t="s">
        <v>11</v>
      </c>
      <c r="E55" s="1" t="s">
        <v>11</v>
      </c>
      <c r="F55" s="1" t="s">
        <v>11</v>
      </c>
      <c r="G55" s="1" t="s">
        <v>11</v>
      </c>
      <c r="H55" s="1" t="s">
        <v>12</v>
      </c>
      <c r="I55" s="1" t="s">
        <v>13</v>
      </c>
    </row>
    <row r="56" spans="1:9" x14ac:dyDescent="0.35">
      <c r="A56" s="1" t="s">
        <v>11</v>
      </c>
      <c r="B56" s="2" t="s">
        <v>11</v>
      </c>
      <c r="C56" s="2" t="s">
        <v>11</v>
      </c>
      <c r="D56" s="1" t="s">
        <v>11</v>
      </c>
      <c r="E56" s="1" t="s">
        <v>74</v>
      </c>
      <c r="F56" s="1" t="s">
        <v>11</v>
      </c>
      <c r="G56" s="1" t="s">
        <v>75</v>
      </c>
      <c r="H56" s="1" t="s">
        <v>11</v>
      </c>
      <c r="I56" s="1" t="s">
        <v>11</v>
      </c>
    </row>
    <row r="57" spans="1:9" x14ac:dyDescent="0.35">
      <c r="A57" s="1" t="s">
        <v>11</v>
      </c>
      <c r="B57" s="2" t="s">
        <v>11</v>
      </c>
      <c r="C57" s="2" t="s">
        <v>11</v>
      </c>
      <c r="D57" s="1" t="s">
        <v>11</v>
      </c>
      <c r="E57" s="1" t="s">
        <v>76</v>
      </c>
      <c r="F57" s="1" t="s">
        <v>11</v>
      </c>
      <c r="G57" s="1" t="s">
        <v>77</v>
      </c>
      <c r="H57" s="1" t="s">
        <v>11</v>
      </c>
      <c r="I57" s="1" t="s">
        <v>11</v>
      </c>
    </row>
    <row r="58" spans="1:9" x14ac:dyDescent="0.35">
      <c r="A58" s="1" t="s">
        <v>78</v>
      </c>
      <c r="B58" s="2" t="s">
        <v>68</v>
      </c>
      <c r="C58" s="2" t="str">
        <f>HYPERLINK("https://team-fn99.testit.software/projects/1/tests/100", "Заголовок страницы: «Управление продуктами».")</f>
        <v>Заголовок страницы: «Управление продуктами».</v>
      </c>
      <c r="D58" s="1" t="s">
        <v>11</v>
      </c>
      <c r="E58" s="1" t="s">
        <v>11</v>
      </c>
      <c r="F58" s="1" t="s">
        <v>11</v>
      </c>
      <c r="G58" s="1" t="s">
        <v>11</v>
      </c>
      <c r="H58" s="1" t="s">
        <v>12</v>
      </c>
      <c r="I58" s="1" t="s">
        <v>13</v>
      </c>
    </row>
    <row r="59" spans="1:9" x14ac:dyDescent="0.35">
      <c r="A59" s="1" t="s">
        <v>11</v>
      </c>
      <c r="B59" s="2" t="s">
        <v>11</v>
      </c>
      <c r="C59" s="2" t="s">
        <v>11</v>
      </c>
      <c r="D59" s="1" t="s">
        <v>11</v>
      </c>
      <c r="E59" s="1" t="s">
        <v>74</v>
      </c>
      <c r="F59" s="1" t="s">
        <v>11</v>
      </c>
      <c r="G59" s="1" t="s">
        <v>79</v>
      </c>
      <c r="H59" s="1" t="s">
        <v>11</v>
      </c>
      <c r="I59" s="1" t="s">
        <v>11</v>
      </c>
    </row>
    <row r="60" spans="1:9" x14ac:dyDescent="0.35">
      <c r="A60" s="1" t="s">
        <v>80</v>
      </c>
      <c r="B60" s="2" t="s">
        <v>68</v>
      </c>
      <c r="C60" s="2" t="str">
        <f>HYPERLINK("https://team-fn99.testit.software/projects/1/tests/101", "поиска продукта по названию")</f>
        <v>поиска продукта по названию</v>
      </c>
      <c r="D60" s="1" t="s">
        <v>11</v>
      </c>
      <c r="E60" s="1" t="s">
        <v>11</v>
      </c>
      <c r="F60" s="1" t="s">
        <v>11</v>
      </c>
      <c r="G60" s="1" t="s">
        <v>11</v>
      </c>
      <c r="H60" s="1" t="s">
        <v>12</v>
      </c>
      <c r="I60" s="1" t="s">
        <v>13</v>
      </c>
    </row>
    <row r="61" spans="1:9" x14ac:dyDescent="0.35">
      <c r="A61" s="1" t="s">
        <v>11</v>
      </c>
      <c r="B61" s="2" t="s">
        <v>11</v>
      </c>
      <c r="C61" s="2" t="s">
        <v>11</v>
      </c>
      <c r="D61" s="1" t="s">
        <v>11</v>
      </c>
      <c r="E61" s="1" t="s">
        <v>11</v>
      </c>
      <c r="F61" s="1" t="s">
        <v>11</v>
      </c>
      <c r="G61" s="1" t="s">
        <v>11</v>
      </c>
      <c r="H61" s="1" t="s">
        <v>11</v>
      </c>
      <c r="I61" s="1" t="s">
        <v>11</v>
      </c>
    </row>
    <row r="62" spans="1:9" x14ac:dyDescent="0.35">
      <c r="A62" s="1" t="s">
        <v>81</v>
      </c>
      <c r="B62" s="2" t="s">
        <v>82</v>
      </c>
      <c r="C62" s="2" t="str">
        <f>HYPERLINK("https://team-fn99.testit.software/projects/1/tests/84", "UI-10 Проверка столбцов Таблицы с пользователями")</f>
        <v>UI-10 Проверка столбцов Таблицы с пользователями</v>
      </c>
      <c r="D62" s="1" t="s">
        <v>11</v>
      </c>
      <c r="E62" s="1" t="s">
        <v>11</v>
      </c>
      <c r="F62" s="1" t="s">
        <v>11</v>
      </c>
      <c r="G62" s="1" t="s">
        <v>11</v>
      </c>
      <c r="H62" s="1" t="s">
        <v>12</v>
      </c>
      <c r="I62" s="1" t="s">
        <v>13</v>
      </c>
    </row>
    <row r="63" spans="1:9" ht="174" x14ac:dyDescent="0.35">
      <c r="A63" s="1" t="s">
        <v>11</v>
      </c>
      <c r="B63" s="2" t="s">
        <v>11</v>
      </c>
      <c r="C63" s="2" t="s">
        <v>11</v>
      </c>
      <c r="D63" s="1" t="s">
        <v>11</v>
      </c>
      <c r="E63" s="1" t="s">
        <v>83</v>
      </c>
      <c r="F63" s="1" t="s">
        <v>11</v>
      </c>
      <c r="G63" s="2" t="s">
        <v>84</v>
      </c>
      <c r="H63" s="1" t="s">
        <v>11</v>
      </c>
      <c r="I63" s="1" t="s">
        <v>11</v>
      </c>
    </row>
    <row r="64" spans="1:9" x14ac:dyDescent="0.35">
      <c r="A64" s="1" t="s">
        <v>85</v>
      </c>
      <c r="B64" s="2" t="s">
        <v>82</v>
      </c>
      <c r="C64" s="2" t="str">
        <f>HYPERLINK("https://team-fn99.testit.software/projects/1/tests/85", "авторизация супер админ")</f>
        <v>авторизация супер админ</v>
      </c>
      <c r="D64" s="1" t="s">
        <v>11</v>
      </c>
      <c r="E64" s="1" t="s">
        <v>11</v>
      </c>
      <c r="F64" s="1" t="s">
        <v>11</v>
      </c>
      <c r="G64" s="1" t="s">
        <v>11</v>
      </c>
      <c r="H64" s="1" t="s">
        <v>12</v>
      </c>
      <c r="I64" s="1" t="s">
        <v>13</v>
      </c>
    </row>
    <row r="65" spans="1:9" ht="130.5" x14ac:dyDescent="0.35">
      <c r="A65" s="1" t="s">
        <v>11</v>
      </c>
      <c r="B65" s="2" t="s">
        <v>11</v>
      </c>
      <c r="C65" s="2" t="s">
        <v>11</v>
      </c>
      <c r="D65" s="1" t="s">
        <v>11</v>
      </c>
      <c r="E65" s="1" t="s">
        <v>83</v>
      </c>
      <c r="F65" s="1" t="s">
        <v>11</v>
      </c>
      <c r="G65" s="2" t="s">
        <v>86</v>
      </c>
      <c r="H65" s="1" t="s">
        <v>11</v>
      </c>
      <c r="I65" s="1" t="s">
        <v>11</v>
      </c>
    </row>
    <row r="66" spans="1:9" x14ac:dyDescent="0.35">
      <c r="A66" s="1" t="s">
        <v>87</v>
      </c>
      <c r="B66" s="2" t="s">
        <v>82</v>
      </c>
      <c r="C66" s="2" t="str">
        <f>HYPERLINK("https://team-fn99.testit.software/projects/1/tests/86", "UI-11 поиск в таблице")</f>
        <v>UI-11 поиск в таблице</v>
      </c>
      <c r="D66" s="1" t="s">
        <v>11</v>
      </c>
      <c r="E66" s="1" t="s">
        <v>11</v>
      </c>
      <c r="F66" s="1" t="s">
        <v>11</v>
      </c>
      <c r="G66" s="1" t="s">
        <v>11</v>
      </c>
      <c r="H66" s="1" t="s">
        <v>12</v>
      </c>
      <c r="I66" s="1" t="s">
        <v>13</v>
      </c>
    </row>
    <row r="67" spans="1:9" ht="130.5" x14ac:dyDescent="0.35">
      <c r="A67" s="1" t="s">
        <v>11</v>
      </c>
      <c r="B67" s="2" t="s">
        <v>11</v>
      </c>
      <c r="C67" s="2" t="s">
        <v>11</v>
      </c>
      <c r="D67" s="1" t="s">
        <v>11</v>
      </c>
      <c r="E67" s="1" t="s">
        <v>83</v>
      </c>
      <c r="F67" s="1" t="s">
        <v>11</v>
      </c>
      <c r="G67" s="2" t="s">
        <v>86</v>
      </c>
      <c r="H67" s="1" t="s">
        <v>11</v>
      </c>
      <c r="I67" s="1" t="s">
        <v>11</v>
      </c>
    </row>
    <row r="68" spans="1:9" x14ac:dyDescent="0.35">
      <c r="A68" s="1" t="s">
        <v>11</v>
      </c>
      <c r="B68" s="2" t="s">
        <v>11</v>
      </c>
      <c r="C68" s="2" t="s">
        <v>11</v>
      </c>
      <c r="D68" s="1" t="s">
        <v>11</v>
      </c>
      <c r="E68" s="1" t="s">
        <v>88</v>
      </c>
      <c r="F68" s="1" t="s">
        <v>11</v>
      </c>
      <c r="G68" s="1" t="s">
        <v>89</v>
      </c>
      <c r="H68" s="1" t="s">
        <v>11</v>
      </c>
      <c r="I68" s="1" t="s">
        <v>11</v>
      </c>
    </row>
    <row r="69" spans="1:9" x14ac:dyDescent="0.35">
      <c r="A69" s="1" t="s">
        <v>11</v>
      </c>
      <c r="B69" s="2" t="s">
        <v>11</v>
      </c>
      <c r="C69" s="2" t="s">
        <v>11</v>
      </c>
      <c r="D69" s="1" t="s">
        <v>11</v>
      </c>
      <c r="E69" s="1" t="s">
        <v>90</v>
      </c>
      <c r="F69" s="1" t="s">
        <v>11</v>
      </c>
      <c r="G69" s="1" t="s">
        <v>89</v>
      </c>
      <c r="H69" s="1" t="s">
        <v>11</v>
      </c>
      <c r="I69" s="1" t="s">
        <v>11</v>
      </c>
    </row>
    <row r="70" spans="1:9" x14ac:dyDescent="0.35">
      <c r="A70" s="1" t="s">
        <v>91</v>
      </c>
      <c r="B70" s="2" t="s">
        <v>82</v>
      </c>
      <c r="C70" s="2" t="str">
        <f>HYPERLINK("https://team-fn99.testit.software/projects/1/tests/87", "UI-12 фильтр по статусу супер-админ")</f>
        <v>UI-12 фильтр по статусу супер-админ</v>
      </c>
      <c r="D70" s="1" t="s">
        <v>11</v>
      </c>
      <c r="E70" s="1" t="s">
        <v>11</v>
      </c>
      <c r="F70" s="1" t="s">
        <v>11</v>
      </c>
      <c r="G70" s="1" t="s">
        <v>11</v>
      </c>
      <c r="H70" s="1" t="s">
        <v>12</v>
      </c>
      <c r="I70" s="1" t="s">
        <v>13</v>
      </c>
    </row>
    <row r="71" spans="1:9" ht="130.5" x14ac:dyDescent="0.35">
      <c r="A71" s="1" t="s">
        <v>11</v>
      </c>
      <c r="B71" s="2" t="s">
        <v>11</v>
      </c>
      <c r="C71" s="2" t="s">
        <v>11</v>
      </c>
      <c r="D71" s="1" t="s">
        <v>11</v>
      </c>
      <c r="E71" s="1" t="s">
        <v>83</v>
      </c>
      <c r="F71" s="1" t="s">
        <v>11</v>
      </c>
      <c r="G71" s="2" t="s">
        <v>86</v>
      </c>
      <c r="H71" s="1" t="s">
        <v>11</v>
      </c>
      <c r="I71" s="1" t="s">
        <v>11</v>
      </c>
    </row>
    <row r="72" spans="1:9" ht="43.5" x14ac:dyDescent="0.35">
      <c r="A72" s="1" t="s">
        <v>11</v>
      </c>
      <c r="B72" s="2" t="s">
        <v>11</v>
      </c>
      <c r="C72" s="2" t="s">
        <v>11</v>
      </c>
      <c r="D72" s="1" t="s">
        <v>11</v>
      </c>
      <c r="E72" s="1" t="s">
        <v>92</v>
      </c>
      <c r="F72" s="1" t="s">
        <v>11</v>
      </c>
      <c r="G72" s="2" t="s">
        <v>93</v>
      </c>
      <c r="H72" s="1" t="s">
        <v>11</v>
      </c>
      <c r="I72" s="1" t="s">
        <v>11</v>
      </c>
    </row>
    <row r="73" spans="1:9" x14ac:dyDescent="0.35">
      <c r="A73" s="1" t="s">
        <v>94</v>
      </c>
      <c r="B73" s="2" t="s">
        <v>82</v>
      </c>
      <c r="C73" s="2" t="str">
        <f>HYPERLINK("https://team-fn99.testit.software/projects/1/tests/88", "UI-13 фильтр по статусу обычный пользователь")</f>
        <v>UI-13 фильтр по статусу обычный пользователь</v>
      </c>
      <c r="D73" s="1" t="s">
        <v>11</v>
      </c>
      <c r="E73" s="1" t="s">
        <v>11</v>
      </c>
      <c r="F73" s="1" t="s">
        <v>11</v>
      </c>
      <c r="G73" s="1" t="s">
        <v>11</v>
      </c>
      <c r="H73" s="1" t="s">
        <v>12</v>
      </c>
      <c r="I73" s="1" t="s">
        <v>13</v>
      </c>
    </row>
    <row r="74" spans="1:9" ht="130.5" x14ac:dyDescent="0.35">
      <c r="A74" s="1" t="s">
        <v>11</v>
      </c>
      <c r="B74" s="2" t="s">
        <v>11</v>
      </c>
      <c r="C74" s="2" t="s">
        <v>11</v>
      </c>
      <c r="D74" s="1" t="s">
        <v>11</v>
      </c>
      <c r="E74" s="1" t="s">
        <v>83</v>
      </c>
      <c r="F74" s="1" t="s">
        <v>11</v>
      </c>
      <c r="G74" s="2" t="s">
        <v>86</v>
      </c>
      <c r="H74" s="1" t="s">
        <v>11</v>
      </c>
      <c r="I74" s="1" t="s">
        <v>11</v>
      </c>
    </row>
    <row r="75" spans="1:9" ht="58" x14ac:dyDescent="0.35">
      <c r="A75" s="1" t="s">
        <v>11</v>
      </c>
      <c r="B75" s="2" t="s">
        <v>11</v>
      </c>
      <c r="C75" s="2" t="s">
        <v>11</v>
      </c>
      <c r="D75" s="1" t="s">
        <v>11</v>
      </c>
      <c r="E75" s="1" t="s">
        <v>95</v>
      </c>
      <c r="F75" s="1" t="s">
        <v>11</v>
      </c>
      <c r="G75" s="2" t="s">
        <v>96</v>
      </c>
      <c r="H75" s="1" t="s">
        <v>11</v>
      </c>
      <c r="I75" s="1" t="s">
        <v>11</v>
      </c>
    </row>
    <row r="76" spans="1:9" x14ac:dyDescent="0.35">
      <c r="A76" s="1" t="s">
        <v>97</v>
      </c>
      <c r="B76" s="2" t="s">
        <v>98</v>
      </c>
      <c r="C76" s="2" t="str">
        <f>HYPERLINK("https://team-fn99.testit.software/projects/1/tests/102", "Регистрация - успешная")</f>
        <v>Регистрация - успешная</v>
      </c>
      <c r="D76" s="1" t="s">
        <v>11</v>
      </c>
      <c r="E76" s="1" t="s">
        <v>11</v>
      </c>
      <c r="F76" s="1" t="s">
        <v>11</v>
      </c>
      <c r="G76" s="1" t="s">
        <v>11</v>
      </c>
      <c r="H76" s="1" t="s">
        <v>99</v>
      </c>
      <c r="I76" s="1" t="s">
        <v>13</v>
      </c>
    </row>
    <row r="77" spans="1:9" ht="130.5" x14ac:dyDescent="0.35">
      <c r="A77" s="1" t="s">
        <v>11</v>
      </c>
      <c r="B77" s="2" t="s">
        <v>11</v>
      </c>
      <c r="C77" s="2" t="s">
        <v>11</v>
      </c>
      <c r="D77" s="1" t="s">
        <v>11</v>
      </c>
      <c r="E77" s="2" t="s">
        <v>100</v>
      </c>
      <c r="F77" s="1" t="s">
        <v>11</v>
      </c>
      <c r="G77" s="2" t="s">
        <v>101</v>
      </c>
      <c r="H77" s="1" t="s">
        <v>11</v>
      </c>
      <c r="I77" s="1" t="s">
        <v>11</v>
      </c>
    </row>
    <row r="78" spans="1:9" ht="87" x14ac:dyDescent="0.35">
      <c r="A78" s="1" t="s">
        <v>11</v>
      </c>
      <c r="B78" s="2" t="s">
        <v>11</v>
      </c>
      <c r="C78" s="2" t="s">
        <v>11</v>
      </c>
      <c r="D78" s="1" t="s">
        <v>11</v>
      </c>
      <c r="E78" s="2" t="s">
        <v>102</v>
      </c>
      <c r="F78" s="1" t="s">
        <v>11</v>
      </c>
      <c r="G78" s="2" t="s">
        <v>103</v>
      </c>
      <c r="H78" s="1" t="s">
        <v>11</v>
      </c>
      <c r="I78" s="1" t="s">
        <v>11</v>
      </c>
    </row>
    <row r="79" spans="1:9" x14ac:dyDescent="0.35">
      <c r="A79" s="1" t="s">
        <v>104</v>
      </c>
      <c r="B79" s="2" t="s">
        <v>98</v>
      </c>
      <c r="C79" s="2" t="str">
        <f>HYPERLINK("https://team-fn99.testit.software/projects/1/tests/103", "Регистрация - email уже существует")</f>
        <v>Регистрация - email уже существует</v>
      </c>
      <c r="D79" s="1" t="s">
        <v>11</v>
      </c>
      <c r="E79" s="1" t="s">
        <v>11</v>
      </c>
      <c r="F79" s="1" t="s">
        <v>11</v>
      </c>
      <c r="G79" s="1" t="s">
        <v>11</v>
      </c>
      <c r="H79" s="1" t="s">
        <v>105</v>
      </c>
      <c r="I79" s="1" t="s">
        <v>13</v>
      </c>
    </row>
    <row r="80" spans="1:9" ht="87" x14ac:dyDescent="0.35">
      <c r="A80" s="1" t="s">
        <v>11</v>
      </c>
      <c r="B80" s="2" t="s">
        <v>11</v>
      </c>
      <c r="C80" s="2" t="s">
        <v>11</v>
      </c>
      <c r="D80" s="1" t="s">
        <v>106</v>
      </c>
      <c r="E80" s="1" t="s">
        <v>11</v>
      </c>
      <c r="F80" s="1" t="s">
        <v>11</v>
      </c>
      <c r="G80" s="2" t="s">
        <v>107</v>
      </c>
      <c r="H80" s="1" t="s">
        <v>11</v>
      </c>
      <c r="I80" s="1" t="s">
        <v>11</v>
      </c>
    </row>
    <row r="81" spans="1:9" ht="101.5" x14ac:dyDescent="0.35">
      <c r="A81" s="1" t="s">
        <v>11</v>
      </c>
      <c r="B81" s="2" t="s">
        <v>11</v>
      </c>
      <c r="C81" s="2" t="s">
        <v>11</v>
      </c>
      <c r="D81" s="1" t="s">
        <v>11</v>
      </c>
      <c r="E81" s="2" t="s">
        <v>108</v>
      </c>
      <c r="F81" s="1" t="s">
        <v>11</v>
      </c>
      <c r="G81" s="2" t="s">
        <v>109</v>
      </c>
      <c r="H81" s="1" t="s">
        <v>11</v>
      </c>
      <c r="I81" s="1" t="s">
        <v>11</v>
      </c>
    </row>
    <row r="82" spans="1:9" ht="58" x14ac:dyDescent="0.35">
      <c r="A82" s="1" t="s">
        <v>11</v>
      </c>
      <c r="B82" s="2" t="s">
        <v>11</v>
      </c>
      <c r="C82" s="2" t="s">
        <v>11</v>
      </c>
      <c r="D82" s="1" t="s">
        <v>11</v>
      </c>
      <c r="E82" s="2" t="s">
        <v>102</v>
      </c>
      <c r="F82" s="1" t="s">
        <v>11</v>
      </c>
      <c r="G82" s="1" t="s">
        <v>110</v>
      </c>
      <c r="H82" s="1" t="s">
        <v>11</v>
      </c>
      <c r="I82" s="1" t="s">
        <v>11</v>
      </c>
    </row>
    <row r="83" spans="1:9" x14ac:dyDescent="0.35">
      <c r="A83" s="1" t="s">
        <v>111</v>
      </c>
      <c r="B83" s="2" t="s">
        <v>98</v>
      </c>
      <c r="C83" s="2" t="str">
        <f>HYPERLINK("https://team-fn99.testit.software/projects/1/tests/104", "Регистрация - имя из пробелов")</f>
        <v>Регистрация - имя из пробелов</v>
      </c>
      <c r="D83" s="1" t="s">
        <v>11</v>
      </c>
      <c r="E83" s="1" t="s">
        <v>11</v>
      </c>
      <c r="F83" s="1" t="s">
        <v>11</v>
      </c>
      <c r="G83" s="1" t="s">
        <v>11</v>
      </c>
      <c r="H83" s="1" t="s">
        <v>12</v>
      </c>
      <c r="I83" s="1" t="s">
        <v>13</v>
      </c>
    </row>
    <row r="84" spans="1:9" ht="101.5" x14ac:dyDescent="0.35">
      <c r="A84" s="1" t="s">
        <v>11</v>
      </c>
      <c r="B84" s="2" t="s">
        <v>11</v>
      </c>
      <c r="C84" s="2" t="s">
        <v>11</v>
      </c>
      <c r="D84" s="1" t="s">
        <v>11</v>
      </c>
      <c r="E84" s="2" t="s">
        <v>112</v>
      </c>
      <c r="F84" s="1" t="s">
        <v>11</v>
      </c>
      <c r="G84" s="2" t="s">
        <v>113</v>
      </c>
      <c r="H84" s="1" t="s">
        <v>11</v>
      </c>
      <c r="I84" s="1" t="s">
        <v>11</v>
      </c>
    </row>
    <row r="85" spans="1:9" ht="58" x14ac:dyDescent="0.35">
      <c r="A85" s="1" t="s">
        <v>11</v>
      </c>
      <c r="B85" s="2" t="s">
        <v>11</v>
      </c>
      <c r="C85" s="2" t="s">
        <v>11</v>
      </c>
      <c r="D85" s="1" t="s">
        <v>11</v>
      </c>
      <c r="E85" s="2" t="s">
        <v>102</v>
      </c>
      <c r="F85" s="1" t="s">
        <v>11</v>
      </c>
      <c r="G85" s="1" t="s">
        <v>114</v>
      </c>
      <c r="H85" s="1" t="s">
        <v>11</v>
      </c>
      <c r="I85" s="1" t="s">
        <v>11</v>
      </c>
    </row>
    <row r="86" spans="1:9" x14ac:dyDescent="0.35">
      <c r="A86" s="1" t="s">
        <v>115</v>
      </c>
      <c r="B86" s="2" t="s">
        <v>98</v>
      </c>
      <c r="C86" s="2" t="str">
        <f>HYPERLINK("https://team-fn99.testit.software/projects/1/tests/105", "Регистрация - имя больше 50 символов")</f>
        <v>Регистрация - имя больше 50 символов</v>
      </c>
      <c r="D86" s="1" t="s">
        <v>11</v>
      </c>
      <c r="E86" s="1" t="s">
        <v>11</v>
      </c>
      <c r="F86" s="1" t="s">
        <v>11</v>
      </c>
      <c r="G86" s="1" t="s">
        <v>11</v>
      </c>
      <c r="H86" s="1" t="s">
        <v>105</v>
      </c>
      <c r="I86" s="1" t="s">
        <v>13</v>
      </c>
    </row>
    <row r="87" spans="1:9" ht="101.5" x14ac:dyDescent="0.35">
      <c r="A87" s="1" t="s">
        <v>11</v>
      </c>
      <c r="B87" s="2" t="s">
        <v>11</v>
      </c>
      <c r="C87" s="2" t="s">
        <v>11</v>
      </c>
      <c r="D87" s="1" t="s">
        <v>11</v>
      </c>
      <c r="E87" s="2" t="s">
        <v>116</v>
      </c>
      <c r="F87" s="1" t="s">
        <v>11</v>
      </c>
      <c r="G87" s="1" t="s">
        <v>117</v>
      </c>
      <c r="H87" s="1" t="s">
        <v>11</v>
      </c>
      <c r="I87" s="1" t="s">
        <v>11</v>
      </c>
    </row>
    <row r="88" spans="1:9" ht="58" x14ac:dyDescent="0.35">
      <c r="A88" s="1" t="s">
        <v>11</v>
      </c>
      <c r="B88" s="2" t="s">
        <v>11</v>
      </c>
      <c r="C88" s="2" t="s">
        <v>11</v>
      </c>
      <c r="D88" s="1" t="s">
        <v>11</v>
      </c>
      <c r="E88" s="2" t="s">
        <v>102</v>
      </c>
      <c r="F88" s="1" t="s">
        <v>11</v>
      </c>
      <c r="G88" s="1" t="s">
        <v>118</v>
      </c>
      <c r="H88" s="1" t="s">
        <v>11</v>
      </c>
      <c r="I88" s="1" t="s">
        <v>11</v>
      </c>
    </row>
    <row r="89" spans="1:9" x14ac:dyDescent="0.35">
      <c r="A89" s="1" t="s">
        <v>119</v>
      </c>
      <c r="B89" s="2" t="s">
        <v>98</v>
      </c>
      <c r="C89" s="2" t="str">
        <f>HYPERLINK("https://team-fn99.testit.software/projects/1/tests/106", "Регистрация - невалидный email")</f>
        <v>Регистрация - невалидный email</v>
      </c>
      <c r="D89" s="1" t="s">
        <v>11</v>
      </c>
      <c r="E89" s="1" t="s">
        <v>11</v>
      </c>
      <c r="F89" s="1" t="s">
        <v>11</v>
      </c>
      <c r="G89" s="1" t="s">
        <v>11</v>
      </c>
      <c r="H89" s="1" t="s">
        <v>105</v>
      </c>
      <c r="I89" s="1" t="s">
        <v>13</v>
      </c>
    </row>
    <row r="90" spans="1:9" ht="116" x14ac:dyDescent="0.35">
      <c r="A90" s="1" t="s">
        <v>11</v>
      </c>
      <c r="B90" s="2" t="s">
        <v>11</v>
      </c>
      <c r="C90" s="2" t="s">
        <v>11</v>
      </c>
      <c r="D90" s="1" t="s">
        <v>11</v>
      </c>
      <c r="E90" s="2" t="s">
        <v>120</v>
      </c>
      <c r="F90" s="1" t="s">
        <v>11</v>
      </c>
      <c r="G90" s="2" t="s">
        <v>121</v>
      </c>
      <c r="H90" s="1" t="s">
        <v>11</v>
      </c>
      <c r="I90" s="1" t="s">
        <v>11</v>
      </c>
    </row>
    <row r="91" spans="1:9" ht="58" x14ac:dyDescent="0.35">
      <c r="A91" s="1" t="s">
        <v>11</v>
      </c>
      <c r="B91" s="2" t="s">
        <v>11</v>
      </c>
      <c r="C91" s="2" t="s">
        <v>11</v>
      </c>
      <c r="D91" s="1" t="s">
        <v>11</v>
      </c>
      <c r="E91" s="2" t="s">
        <v>102</v>
      </c>
      <c r="F91" s="1" t="s">
        <v>11</v>
      </c>
      <c r="G91" s="1" t="s">
        <v>118</v>
      </c>
      <c r="H91" s="1" t="s">
        <v>11</v>
      </c>
      <c r="I91" s="1" t="s">
        <v>11</v>
      </c>
    </row>
    <row r="92" spans="1:9" x14ac:dyDescent="0.35">
      <c r="A92" s="1" t="s">
        <v>122</v>
      </c>
      <c r="B92" s="2" t="s">
        <v>98</v>
      </c>
      <c r="C92" s="2" t="str">
        <f>HYPERLINK("https://team-fn99.testit.software/projects/1/tests/107", "Регистрация - пароль меньше 8 символов")</f>
        <v>Регистрация - пароль меньше 8 символов</v>
      </c>
      <c r="D92" s="1" t="s">
        <v>11</v>
      </c>
      <c r="E92" s="1" t="s">
        <v>11</v>
      </c>
      <c r="F92" s="1" t="s">
        <v>11</v>
      </c>
      <c r="G92" s="1" t="s">
        <v>11</v>
      </c>
      <c r="H92" s="1" t="s">
        <v>105</v>
      </c>
      <c r="I92" s="1" t="s">
        <v>13</v>
      </c>
    </row>
    <row r="93" spans="1:9" ht="116" x14ac:dyDescent="0.35">
      <c r="A93" s="1" t="s">
        <v>11</v>
      </c>
      <c r="B93" s="2" t="s">
        <v>11</v>
      </c>
      <c r="C93" s="2" t="s">
        <v>11</v>
      </c>
      <c r="D93" s="1" t="s">
        <v>11</v>
      </c>
      <c r="E93" s="2" t="s">
        <v>123</v>
      </c>
      <c r="F93" s="1" t="s">
        <v>11</v>
      </c>
      <c r="G93" s="2" t="s">
        <v>124</v>
      </c>
      <c r="H93" s="1" t="s">
        <v>11</v>
      </c>
      <c r="I93" s="1" t="s">
        <v>11</v>
      </c>
    </row>
    <row r="94" spans="1:9" ht="58" x14ac:dyDescent="0.35">
      <c r="A94" s="1" t="s">
        <v>11</v>
      </c>
      <c r="B94" s="2" t="s">
        <v>11</v>
      </c>
      <c r="C94" s="2" t="s">
        <v>11</v>
      </c>
      <c r="D94" s="1" t="s">
        <v>11</v>
      </c>
      <c r="E94" s="2" t="s">
        <v>102</v>
      </c>
      <c r="F94" s="1" t="s">
        <v>11</v>
      </c>
      <c r="G94" s="1" t="s">
        <v>118</v>
      </c>
      <c r="H94" s="1" t="s">
        <v>11</v>
      </c>
      <c r="I94" s="1" t="s">
        <v>11</v>
      </c>
    </row>
    <row r="95" spans="1:9" x14ac:dyDescent="0.35">
      <c r="A95" s="1" t="s">
        <v>125</v>
      </c>
      <c r="B95" s="2" t="s">
        <v>98</v>
      </c>
      <c r="C95" s="2" t="str">
        <f>HYPERLINK("https://team-fn99.testit.software/projects/1/tests/108", "Регистрация - отсутствует обязательное поле")</f>
        <v>Регистрация - отсутствует обязательное поле</v>
      </c>
      <c r="D95" s="1" t="s">
        <v>11</v>
      </c>
      <c r="E95" s="1" t="s">
        <v>11</v>
      </c>
      <c r="F95" s="1" t="s">
        <v>11</v>
      </c>
      <c r="G95" s="1" t="s">
        <v>11</v>
      </c>
      <c r="H95" s="1" t="s">
        <v>105</v>
      </c>
      <c r="I95" s="1" t="s">
        <v>13</v>
      </c>
    </row>
    <row r="96" spans="1:9" x14ac:dyDescent="0.35">
      <c r="A96" s="1" t="s">
        <v>11</v>
      </c>
      <c r="B96" s="2" t="s">
        <v>11</v>
      </c>
      <c r="C96" s="2" t="s">
        <v>11</v>
      </c>
      <c r="D96" s="1" t="s">
        <v>11</v>
      </c>
      <c r="E96" s="1" t="s">
        <v>126</v>
      </c>
      <c r="F96" s="1" t="s">
        <v>11</v>
      </c>
      <c r="G96" s="1" t="s">
        <v>127</v>
      </c>
      <c r="H96" s="1" t="s">
        <v>11</v>
      </c>
      <c r="I96" s="1" t="s">
        <v>11</v>
      </c>
    </row>
    <row r="97" spans="1:9" ht="58" x14ac:dyDescent="0.35">
      <c r="A97" s="1" t="s">
        <v>11</v>
      </c>
      <c r="B97" s="2" t="s">
        <v>11</v>
      </c>
      <c r="C97" s="2" t="s">
        <v>11</v>
      </c>
      <c r="D97" s="1" t="s">
        <v>11</v>
      </c>
      <c r="E97" s="2" t="s">
        <v>102</v>
      </c>
      <c r="F97" s="1" t="s">
        <v>11</v>
      </c>
      <c r="G97" s="1" t="s">
        <v>110</v>
      </c>
      <c r="H97" s="1" t="s">
        <v>11</v>
      </c>
      <c r="I97" s="1" t="s">
        <v>11</v>
      </c>
    </row>
    <row r="98" spans="1:9" x14ac:dyDescent="0.35">
      <c r="A98" s="1" t="s">
        <v>128</v>
      </c>
      <c r="B98" s="2" t="s">
        <v>98</v>
      </c>
      <c r="C98" s="2" t="str">
        <f>HYPERLINK("https://team-fn99.testit.software/projects/1/tests/109", "Авторизация - успешная")</f>
        <v>Авторизация - успешная</v>
      </c>
      <c r="D98" s="1" t="s">
        <v>11</v>
      </c>
      <c r="E98" s="1" t="s">
        <v>11</v>
      </c>
      <c r="F98" s="1" t="s">
        <v>11</v>
      </c>
      <c r="G98" s="1" t="s">
        <v>11</v>
      </c>
      <c r="H98" s="1" t="s">
        <v>12</v>
      </c>
      <c r="I98" s="1" t="s">
        <v>13</v>
      </c>
    </row>
    <row r="99" spans="1:9" ht="43.5" x14ac:dyDescent="0.35">
      <c r="A99" s="1" t="s">
        <v>11</v>
      </c>
      <c r="B99" s="2" t="s">
        <v>11</v>
      </c>
      <c r="C99" s="2" t="s">
        <v>11</v>
      </c>
      <c r="D99" s="2" t="s">
        <v>129</v>
      </c>
      <c r="E99" s="1" t="s">
        <v>11</v>
      </c>
      <c r="F99" s="1" t="s">
        <v>11</v>
      </c>
      <c r="G99" s="1" t="s">
        <v>11</v>
      </c>
      <c r="H99" s="1" t="s">
        <v>11</v>
      </c>
      <c r="I99" s="1" t="s">
        <v>11</v>
      </c>
    </row>
    <row r="100" spans="1:9" ht="72.5" x14ac:dyDescent="0.35">
      <c r="A100" s="1" t="s">
        <v>11</v>
      </c>
      <c r="B100" s="2" t="s">
        <v>11</v>
      </c>
      <c r="C100" s="2" t="s">
        <v>11</v>
      </c>
      <c r="D100" s="1" t="s">
        <v>11</v>
      </c>
      <c r="E100" s="2" t="s">
        <v>130</v>
      </c>
      <c r="F100" s="1" t="s">
        <v>11</v>
      </c>
      <c r="G100" s="2" t="s">
        <v>131</v>
      </c>
      <c r="H100" s="1" t="s">
        <v>11</v>
      </c>
      <c r="I100" s="1" t="s">
        <v>11</v>
      </c>
    </row>
    <row r="101" spans="1:9" x14ac:dyDescent="0.35">
      <c r="A101" s="1" t="s">
        <v>132</v>
      </c>
      <c r="B101" s="2" t="s">
        <v>98</v>
      </c>
      <c r="C101" s="2" t="str">
        <f>HYPERLINK("https://team-fn99.testit.software/projects/1/tests/110", "Авторизация - неверный пароль")</f>
        <v>Авторизация - неверный пароль</v>
      </c>
      <c r="D101" s="1" t="s">
        <v>11</v>
      </c>
      <c r="E101" s="1" t="s">
        <v>11</v>
      </c>
      <c r="F101" s="1" t="s">
        <v>11</v>
      </c>
      <c r="G101" s="1" t="s">
        <v>11</v>
      </c>
      <c r="H101" s="1" t="s">
        <v>105</v>
      </c>
      <c r="I101" s="1" t="s">
        <v>13</v>
      </c>
    </row>
    <row r="102" spans="1:9" ht="58" x14ac:dyDescent="0.35">
      <c r="A102" s="1" t="s">
        <v>11</v>
      </c>
      <c r="B102" s="2" t="s">
        <v>11</v>
      </c>
      <c r="C102" s="2" t="s">
        <v>11</v>
      </c>
      <c r="D102" s="2" t="s">
        <v>133</v>
      </c>
      <c r="E102" s="1" t="s">
        <v>11</v>
      </c>
      <c r="F102" s="1" t="s">
        <v>11</v>
      </c>
      <c r="G102" s="1" t="s">
        <v>11</v>
      </c>
      <c r="H102" s="1" t="s">
        <v>11</v>
      </c>
      <c r="I102" s="1" t="s">
        <v>11</v>
      </c>
    </row>
    <row r="103" spans="1:9" ht="43.5" x14ac:dyDescent="0.35">
      <c r="A103" s="1" t="s">
        <v>11</v>
      </c>
      <c r="B103" s="2" t="s">
        <v>11</v>
      </c>
      <c r="C103" s="2" t="s">
        <v>11</v>
      </c>
      <c r="D103" s="1" t="s">
        <v>11</v>
      </c>
      <c r="E103" s="1" t="s">
        <v>134</v>
      </c>
      <c r="F103" s="1" t="s">
        <v>11</v>
      </c>
      <c r="G103" s="2" t="s">
        <v>135</v>
      </c>
      <c r="H103" s="1" t="s">
        <v>11</v>
      </c>
      <c r="I103" s="1" t="s">
        <v>11</v>
      </c>
    </row>
    <row r="104" spans="1:9" x14ac:dyDescent="0.35">
      <c r="A104" s="1" t="s">
        <v>136</v>
      </c>
      <c r="B104" s="2" t="s">
        <v>98</v>
      </c>
      <c r="C104" s="2" t="str">
        <f>HYPERLINK("https://team-fn99.testit.software/projects/1/tests/111", "Авторизация - несуществующий email")</f>
        <v>Авторизация - несуществующий email</v>
      </c>
      <c r="D104" s="1" t="s">
        <v>11</v>
      </c>
      <c r="E104" s="1" t="s">
        <v>11</v>
      </c>
      <c r="F104" s="1" t="s">
        <v>11</v>
      </c>
      <c r="G104" s="1" t="s">
        <v>11</v>
      </c>
      <c r="H104" s="1" t="s">
        <v>105</v>
      </c>
      <c r="I104" s="1" t="s">
        <v>13</v>
      </c>
    </row>
    <row r="105" spans="1:9" ht="72.5" x14ac:dyDescent="0.35">
      <c r="A105" s="1" t="s">
        <v>11</v>
      </c>
      <c r="B105" s="2" t="s">
        <v>11</v>
      </c>
      <c r="C105" s="2" t="s">
        <v>11</v>
      </c>
      <c r="D105" s="1" t="s">
        <v>11</v>
      </c>
      <c r="E105" s="2" t="s">
        <v>137</v>
      </c>
      <c r="F105" s="1" t="s">
        <v>11</v>
      </c>
      <c r="G105" s="2" t="s">
        <v>138</v>
      </c>
      <c r="H105" s="1" t="s">
        <v>11</v>
      </c>
      <c r="I105" s="1" t="s">
        <v>11</v>
      </c>
    </row>
    <row r="106" spans="1:9" x14ac:dyDescent="0.35">
      <c r="A106" s="1" t="s">
        <v>139</v>
      </c>
      <c r="B106" s="2" t="s">
        <v>98</v>
      </c>
      <c r="C106" s="2" t="str">
        <f>HYPERLINK("https://team-fn99.testit.software/projects/1/tests/113", "Просмотр данных - с невалидным токеном")</f>
        <v>Просмотр данных - с невалидным токеном</v>
      </c>
      <c r="D106" s="1" t="s">
        <v>11</v>
      </c>
      <c r="E106" s="1" t="s">
        <v>11</v>
      </c>
      <c r="F106" s="1" t="s">
        <v>11</v>
      </c>
      <c r="G106" s="1" t="s">
        <v>11</v>
      </c>
      <c r="H106" s="1" t="s">
        <v>12</v>
      </c>
      <c r="I106" s="1" t="s">
        <v>13</v>
      </c>
    </row>
    <row r="107" spans="1:9" x14ac:dyDescent="0.35">
      <c r="A107" s="1" t="s">
        <v>11</v>
      </c>
      <c r="B107" s="2" t="s">
        <v>11</v>
      </c>
      <c r="C107" s="2" t="s">
        <v>11</v>
      </c>
      <c r="D107" s="1" t="s">
        <v>11</v>
      </c>
      <c r="E107" s="1" t="s">
        <v>140</v>
      </c>
      <c r="F107" s="1" t="s">
        <v>11</v>
      </c>
      <c r="G107" s="1" t="s">
        <v>141</v>
      </c>
      <c r="H107" s="1" t="s">
        <v>11</v>
      </c>
      <c r="I107" s="1" t="s">
        <v>11</v>
      </c>
    </row>
    <row r="108" spans="1:9" x14ac:dyDescent="0.35">
      <c r="A108" s="1" t="s">
        <v>142</v>
      </c>
      <c r="B108" s="2" t="s">
        <v>98</v>
      </c>
      <c r="C108" s="2" t="str">
        <f>HYPERLINK("https://team-fn99.testit.software/projects/1/tests/117", "Получение списка - супер-админ")</f>
        <v>Получение списка - супер-админ</v>
      </c>
      <c r="D108" s="1" t="s">
        <v>11</v>
      </c>
      <c r="E108" s="1" t="s">
        <v>11</v>
      </c>
      <c r="F108" s="1" t="s">
        <v>11</v>
      </c>
      <c r="G108" s="1" t="s">
        <v>11</v>
      </c>
      <c r="H108" s="1" t="s">
        <v>12</v>
      </c>
      <c r="I108" s="1" t="s">
        <v>13</v>
      </c>
    </row>
    <row r="109" spans="1:9" x14ac:dyDescent="0.35">
      <c r="A109" s="1" t="s">
        <v>11</v>
      </c>
      <c r="B109" s="2" t="s">
        <v>11</v>
      </c>
      <c r="C109" s="2" t="s">
        <v>11</v>
      </c>
      <c r="D109" s="1" t="s">
        <v>143</v>
      </c>
      <c r="E109" s="1" t="s">
        <v>11</v>
      </c>
      <c r="F109" s="1" t="s">
        <v>11</v>
      </c>
      <c r="G109" s="1" t="s">
        <v>11</v>
      </c>
      <c r="H109" s="1" t="s">
        <v>11</v>
      </c>
      <c r="I109" s="1" t="s">
        <v>11</v>
      </c>
    </row>
    <row r="110" spans="1:9" ht="58" x14ac:dyDescent="0.35">
      <c r="A110" s="1" t="s">
        <v>11</v>
      </c>
      <c r="B110" s="2" t="s">
        <v>11</v>
      </c>
      <c r="C110" s="2" t="s">
        <v>11</v>
      </c>
      <c r="D110" s="1" t="s">
        <v>11</v>
      </c>
      <c r="E110" s="1" t="s">
        <v>144</v>
      </c>
      <c r="F110" s="1" t="s">
        <v>11</v>
      </c>
      <c r="G110" s="2" t="s">
        <v>145</v>
      </c>
      <c r="H110" s="1" t="s">
        <v>11</v>
      </c>
      <c r="I110" s="1" t="s">
        <v>11</v>
      </c>
    </row>
    <row r="111" spans="1:9" x14ac:dyDescent="0.35">
      <c r="A111" s="1" t="s">
        <v>11</v>
      </c>
      <c r="B111" s="2" t="s">
        <v>11</v>
      </c>
      <c r="C111" s="2" t="s">
        <v>11</v>
      </c>
      <c r="D111" s="1" t="s">
        <v>11</v>
      </c>
      <c r="E111" s="1" t="s">
        <v>146</v>
      </c>
      <c r="F111" s="1" t="s">
        <v>11</v>
      </c>
      <c r="G111" s="1" t="s">
        <v>147</v>
      </c>
      <c r="H111" s="1" t="s">
        <v>11</v>
      </c>
      <c r="I111" s="1" t="s">
        <v>11</v>
      </c>
    </row>
    <row r="112" spans="1:9" x14ac:dyDescent="0.35">
      <c r="A112" s="1" t="s">
        <v>148</v>
      </c>
      <c r="B112" s="2" t="s">
        <v>98</v>
      </c>
      <c r="C112" s="2" t="str">
        <f>HYPERLINK("https://team-fn99.testit.software/projects/1/tests/118", "Получение списка - обычный пользователь")</f>
        <v>Получение списка - обычный пользователь</v>
      </c>
      <c r="D112" s="1" t="s">
        <v>11</v>
      </c>
      <c r="E112" s="1" t="s">
        <v>11</v>
      </c>
      <c r="F112" s="1" t="s">
        <v>11</v>
      </c>
      <c r="G112" s="1" t="s">
        <v>11</v>
      </c>
      <c r="H112" s="1" t="s">
        <v>12</v>
      </c>
      <c r="I112" s="1" t="s">
        <v>13</v>
      </c>
    </row>
    <row r="113" spans="1:9" x14ac:dyDescent="0.35">
      <c r="A113" s="1" t="s">
        <v>11</v>
      </c>
      <c r="B113" s="2" t="s">
        <v>11</v>
      </c>
      <c r="C113" s="2" t="s">
        <v>11</v>
      </c>
      <c r="D113" s="1" t="s">
        <v>149</v>
      </c>
      <c r="E113" s="1" t="s">
        <v>11</v>
      </c>
      <c r="F113" s="1" t="s">
        <v>11</v>
      </c>
      <c r="G113" s="1" t="s">
        <v>11</v>
      </c>
      <c r="H113" s="1" t="s">
        <v>11</v>
      </c>
      <c r="I113" s="1" t="s">
        <v>11</v>
      </c>
    </row>
    <row r="114" spans="1:9" ht="29" x14ac:dyDescent="0.35">
      <c r="A114" s="1" t="s">
        <v>11</v>
      </c>
      <c r="B114" s="2" t="s">
        <v>11</v>
      </c>
      <c r="C114" s="2" t="s">
        <v>11</v>
      </c>
      <c r="D114" s="1" t="s">
        <v>11</v>
      </c>
      <c r="E114" s="1" t="s">
        <v>150</v>
      </c>
      <c r="F114" s="1" t="s">
        <v>11</v>
      </c>
      <c r="G114" s="2" t="s">
        <v>151</v>
      </c>
      <c r="H114" s="1" t="s">
        <v>11</v>
      </c>
      <c r="I114" s="1" t="s">
        <v>11</v>
      </c>
    </row>
    <row r="115" spans="1:9" x14ac:dyDescent="0.35">
      <c r="A115" s="1" t="s">
        <v>152</v>
      </c>
      <c r="B115" s="2" t="s">
        <v>98</v>
      </c>
      <c r="C115" s="2" t="str">
        <f>HYPERLINK("https://team-fn99.testit.software/projects/1/tests/115", "Повышение - обычный пользователь пытается повысить")</f>
        <v>Повышение - обычный пользователь пытается повысить</v>
      </c>
      <c r="D115" s="1" t="s">
        <v>11</v>
      </c>
      <c r="E115" s="1" t="s">
        <v>11</v>
      </c>
      <c r="F115" s="1" t="s">
        <v>11</v>
      </c>
      <c r="G115" s="1" t="s">
        <v>11</v>
      </c>
      <c r="H115" s="1" t="s">
        <v>12</v>
      </c>
      <c r="I115" s="1" t="s">
        <v>13</v>
      </c>
    </row>
    <row r="116" spans="1:9" x14ac:dyDescent="0.35">
      <c r="A116" s="1" t="s">
        <v>11</v>
      </c>
      <c r="B116" s="2" t="s">
        <v>11</v>
      </c>
      <c r="C116" s="2" t="s">
        <v>11</v>
      </c>
      <c r="D116" s="1" t="s">
        <v>149</v>
      </c>
      <c r="E116" s="1" t="s">
        <v>11</v>
      </c>
      <c r="F116" s="1" t="s">
        <v>11</v>
      </c>
      <c r="G116" s="1" t="s">
        <v>11</v>
      </c>
      <c r="H116" s="1" t="s">
        <v>11</v>
      </c>
      <c r="I116" s="1" t="s">
        <v>11</v>
      </c>
    </row>
    <row r="117" spans="1:9" x14ac:dyDescent="0.35">
      <c r="A117" s="1" t="s">
        <v>11</v>
      </c>
      <c r="B117" s="2" t="s">
        <v>11</v>
      </c>
      <c r="C117" s="2" t="s">
        <v>11</v>
      </c>
      <c r="D117" s="1" t="s">
        <v>11</v>
      </c>
      <c r="E117" s="1" t="s">
        <v>153</v>
      </c>
      <c r="F117" s="1" t="s">
        <v>11</v>
      </c>
      <c r="G117" s="1" t="s">
        <v>154</v>
      </c>
      <c r="H117" s="1" t="s">
        <v>11</v>
      </c>
      <c r="I117" s="1" t="s">
        <v>11</v>
      </c>
    </row>
    <row r="118" spans="1:9" x14ac:dyDescent="0.35">
      <c r="A118" s="1" t="s">
        <v>155</v>
      </c>
      <c r="B118" s="2" t="s">
        <v>98</v>
      </c>
      <c r="C118" s="2" t="str">
        <f>HYPERLINK("https://team-fn99.testit.software/projects/1/tests/116", "Повышение - несуществующий пользователь")</f>
        <v>Повышение - несуществующий пользователь</v>
      </c>
      <c r="D118" s="1" t="s">
        <v>11</v>
      </c>
      <c r="E118" s="1" t="s">
        <v>11</v>
      </c>
      <c r="F118" s="1" t="s">
        <v>11</v>
      </c>
      <c r="G118" s="1" t="s">
        <v>11</v>
      </c>
      <c r="H118" s="1" t="s">
        <v>12</v>
      </c>
      <c r="I118" s="1" t="s">
        <v>13</v>
      </c>
    </row>
    <row r="119" spans="1:9" x14ac:dyDescent="0.35">
      <c r="A119" s="1" t="s">
        <v>11</v>
      </c>
      <c r="B119" s="2" t="s">
        <v>11</v>
      </c>
      <c r="C119" s="2" t="s">
        <v>11</v>
      </c>
      <c r="D119" s="1" t="s">
        <v>143</v>
      </c>
      <c r="E119" s="1" t="s">
        <v>11</v>
      </c>
      <c r="F119" s="1" t="s">
        <v>11</v>
      </c>
      <c r="G119" s="1" t="s">
        <v>11</v>
      </c>
      <c r="H119" s="1" t="s">
        <v>11</v>
      </c>
      <c r="I119" s="1" t="s">
        <v>11</v>
      </c>
    </row>
    <row r="120" spans="1:9" x14ac:dyDescent="0.35">
      <c r="A120" s="1" t="s">
        <v>11</v>
      </c>
      <c r="B120" s="2" t="s">
        <v>11</v>
      </c>
      <c r="C120" s="2" t="s">
        <v>11</v>
      </c>
      <c r="D120" s="1" t="s">
        <v>11</v>
      </c>
      <c r="E120" s="1" t="s">
        <v>156</v>
      </c>
      <c r="F120" s="1" t="s">
        <v>11</v>
      </c>
      <c r="G120" s="1" t="s">
        <v>157</v>
      </c>
      <c r="H120" s="1" t="s">
        <v>11</v>
      </c>
      <c r="I120" s="1" t="s">
        <v>11</v>
      </c>
    </row>
    <row r="121" spans="1:9" x14ac:dyDescent="0.35">
      <c r="A121" s="1" t="s">
        <v>158</v>
      </c>
      <c r="B121" s="2" t="s">
        <v>98</v>
      </c>
      <c r="C121" s="2" t="str">
        <f>HYPERLINK("https://team-fn99.testit.software/projects/1/tests/114", "Повышение - успешное")</f>
        <v>Повышение - успешное</v>
      </c>
      <c r="D121" s="1" t="s">
        <v>11</v>
      </c>
      <c r="E121" s="1" t="s">
        <v>11</v>
      </c>
      <c r="F121" s="1" t="s">
        <v>11</v>
      </c>
      <c r="G121" s="1" t="s">
        <v>11</v>
      </c>
      <c r="H121" s="1" t="s">
        <v>12</v>
      </c>
      <c r="I121" s="1" t="s">
        <v>13</v>
      </c>
    </row>
    <row r="122" spans="1:9" ht="58" x14ac:dyDescent="0.35">
      <c r="A122" s="1" t="s">
        <v>11</v>
      </c>
      <c r="B122" s="2" t="s">
        <v>11</v>
      </c>
      <c r="C122" s="2" t="s">
        <v>11</v>
      </c>
      <c r="D122" s="2" t="s">
        <v>159</v>
      </c>
      <c r="E122" s="1" t="s">
        <v>11</v>
      </c>
      <c r="F122" s="1" t="s">
        <v>11</v>
      </c>
      <c r="G122" s="1" t="s">
        <v>11</v>
      </c>
      <c r="H122" s="1" t="s">
        <v>11</v>
      </c>
      <c r="I122" s="1" t="s">
        <v>11</v>
      </c>
    </row>
    <row r="123" spans="1:9" ht="43.5" x14ac:dyDescent="0.35">
      <c r="A123" s="1" t="s">
        <v>11</v>
      </c>
      <c r="B123" s="2" t="s">
        <v>11</v>
      </c>
      <c r="C123" s="2" t="s">
        <v>11</v>
      </c>
      <c r="D123" s="1" t="s">
        <v>11</v>
      </c>
      <c r="E123" s="1" t="s">
        <v>160</v>
      </c>
      <c r="F123" s="1" t="s">
        <v>11</v>
      </c>
      <c r="G123" s="2" t="s">
        <v>161</v>
      </c>
      <c r="H123" s="1" t="s">
        <v>11</v>
      </c>
      <c r="I123" s="1" t="s">
        <v>11</v>
      </c>
    </row>
    <row r="124" spans="1:9" x14ac:dyDescent="0.35">
      <c r="A124" s="1" t="s">
        <v>11</v>
      </c>
      <c r="B124" s="2" t="s">
        <v>11</v>
      </c>
      <c r="C124" s="2" t="s">
        <v>11</v>
      </c>
      <c r="D124" s="1" t="s">
        <v>11</v>
      </c>
      <c r="E124" s="1" t="s">
        <v>162</v>
      </c>
      <c r="F124" s="1" t="s">
        <v>11</v>
      </c>
      <c r="G124" s="1" t="s">
        <v>163</v>
      </c>
      <c r="H124" s="1" t="s">
        <v>11</v>
      </c>
      <c r="I124" s="1" t="s">
        <v>11</v>
      </c>
    </row>
    <row r="125" spans="1:9" x14ac:dyDescent="0.35">
      <c r="A125" s="1" t="s">
        <v>164</v>
      </c>
      <c r="B125" s="2" t="s">
        <v>98</v>
      </c>
      <c r="C125" s="2" t="str">
        <f>HYPERLINK("https://team-fn99.testit.software/projects/1/tests/119", "Редактирование - успешное")</f>
        <v>Редактирование - успешное</v>
      </c>
      <c r="D125" s="1" t="s">
        <v>11</v>
      </c>
      <c r="E125" s="1" t="s">
        <v>11</v>
      </c>
      <c r="F125" s="1" t="s">
        <v>11</v>
      </c>
      <c r="G125" s="1" t="s">
        <v>11</v>
      </c>
      <c r="H125" s="1" t="s">
        <v>12</v>
      </c>
      <c r="I125" s="1" t="s">
        <v>13</v>
      </c>
    </row>
    <row r="126" spans="1:9" x14ac:dyDescent="0.35">
      <c r="A126" s="1" t="s">
        <v>11</v>
      </c>
      <c r="B126" s="2" t="s">
        <v>11</v>
      </c>
      <c r="C126" s="2" t="s">
        <v>11</v>
      </c>
      <c r="D126" s="1" t="s">
        <v>165</v>
      </c>
      <c r="E126" s="1" t="s">
        <v>11</v>
      </c>
      <c r="F126" s="1" t="s">
        <v>11</v>
      </c>
      <c r="G126" s="1" t="s">
        <v>11</v>
      </c>
      <c r="H126" s="1" t="s">
        <v>11</v>
      </c>
      <c r="I126" s="1" t="s">
        <v>11</v>
      </c>
    </row>
    <row r="127" spans="1:9" ht="43.5" x14ac:dyDescent="0.35">
      <c r="A127" s="1" t="s">
        <v>11</v>
      </c>
      <c r="B127" s="2" t="s">
        <v>11</v>
      </c>
      <c r="C127" s="2" t="s">
        <v>11</v>
      </c>
      <c r="D127" s="1" t="s">
        <v>11</v>
      </c>
      <c r="E127" s="2" t="s">
        <v>166</v>
      </c>
      <c r="F127" s="1" t="s">
        <v>11</v>
      </c>
      <c r="G127" s="2" t="s">
        <v>167</v>
      </c>
      <c r="H127" s="1" t="s">
        <v>11</v>
      </c>
      <c r="I127" s="1" t="s">
        <v>11</v>
      </c>
    </row>
    <row r="128" spans="1:9" x14ac:dyDescent="0.35">
      <c r="A128" s="1" t="s">
        <v>168</v>
      </c>
      <c r="B128" s="2" t="s">
        <v>98</v>
      </c>
      <c r="C128" s="2" t="str">
        <f>HYPERLINK("https://team-fn99.testit.software/projects/1/tests/120", "Редактирование - несуществующий пользователь")</f>
        <v>Редактирование - несуществующий пользователь</v>
      </c>
      <c r="D128" s="1" t="s">
        <v>11</v>
      </c>
      <c r="E128" s="1" t="s">
        <v>11</v>
      </c>
      <c r="F128" s="1" t="s">
        <v>11</v>
      </c>
      <c r="G128" s="1" t="s">
        <v>11</v>
      </c>
      <c r="H128" s="1" t="s">
        <v>12</v>
      </c>
      <c r="I128" s="1" t="s">
        <v>13</v>
      </c>
    </row>
    <row r="129" spans="1:9" x14ac:dyDescent="0.35">
      <c r="A129" s="1" t="s">
        <v>11</v>
      </c>
      <c r="B129" s="2" t="s">
        <v>11</v>
      </c>
      <c r="C129" s="2" t="s">
        <v>11</v>
      </c>
      <c r="D129" s="1" t="s">
        <v>143</v>
      </c>
      <c r="E129" s="1" t="s">
        <v>11</v>
      </c>
      <c r="F129" s="1" t="s">
        <v>11</v>
      </c>
      <c r="G129" s="1" t="s">
        <v>169</v>
      </c>
      <c r="H129" s="1" t="s">
        <v>11</v>
      </c>
      <c r="I129" s="1" t="s">
        <v>11</v>
      </c>
    </row>
    <row r="130" spans="1:9" x14ac:dyDescent="0.35">
      <c r="A130" s="1" t="s">
        <v>11</v>
      </c>
      <c r="B130" s="2" t="s">
        <v>11</v>
      </c>
      <c r="C130" s="2" t="s">
        <v>11</v>
      </c>
      <c r="D130" s="1" t="s">
        <v>11</v>
      </c>
      <c r="E130" s="1" t="s">
        <v>170</v>
      </c>
      <c r="F130" s="1" t="s">
        <v>11</v>
      </c>
      <c r="G130" s="1" t="s">
        <v>169</v>
      </c>
      <c r="H130" s="1" t="s">
        <v>11</v>
      </c>
      <c r="I130" s="1" t="s">
        <v>11</v>
      </c>
    </row>
    <row r="131" spans="1:9" x14ac:dyDescent="0.35">
      <c r="A131" s="1" t="s">
        <v>171</v>
      </c>
      <c r="B131" s="2" t="s">
        <v>98</v>
      </c>
      <c r="C131" s="2" t="str">
        <f>HYPERLINK("https://team-fn99.testit.software/projects/1/tests/121", "Редактирование - обычный пользователь")</f>
        <v>Редактирование - обычный пользователь</v>
      </c>
      <c r="D131" s="1" t="s">
        <v>11</v>
      </c>
      <c r="E131" s="1" t="s">
        <v>11</v>
      </c>
      <c r="F131" s="1" t="s">
        <v>11</v>
      </c>
      <c r="G131" s="1" t="s">
        <v>11</v>
      </c>
      <c r="H131" s="1" t="s">
        <v>12</v>
      </c>
      <c r="I131" s="1" t="s">
        <v>13</v>
      </c>
    </row>
    <row r="132" spans="1:9" x14ac:dyDescent="0.35">
      <c r="A132" s="1" t="s">
        <v>11</v>
      </c>
      <c r="B132" s="2" t="s">
        <v>11</v>
      </c>
      <c r="C132" s="2" t="s">
        <v>11</v>
      </c>
      <c r="D132" s="1" t="s">
        <v>149</v>
      </c>
      <c r="E132" s="1" t="s">
        <v>11</v>
      </c>
      <c r="F132" s="1" t="s">
        <v>11</v>
      </c>
      <c r="G132" s="1" t="s">
        <v>172</v>
      </c>
      <c r="H132" s="1" t="s">
        <v>11</v>
      </c>
      <c r="I132" s="1" t="s">
        <v>11</v>
      </c>
    </row>
    <row r="133" spans="1:9" x14ac:dyDescent="0.35">
      <c r="A133" s="1" t="s">
        <v>11</v>
      </c>
      <c r="B133" s="2" t="s">
        <v>11</v>
      </c>
      <c r="C133" s="2" t="s">
        <v>11</v>
      </c>
      <c r="D133" s="1" t="s">
        <v>11</v>
      </c>
      <c r="E133" s="1" t="s">
        <v>173</v>
      </c>
      <c r="F133" s="1" t="s">
        <v>11</v>
      </c>
      <c r="G133" s="1" t="s">
        <v>172</v>
      </c>
      <c r="H133" s="1" t="s">
        <v>11</v>
      </c>
      <c r="I133" s="1" t="s">
        <v>11</v>
      </c>
    </row>
    <row r="134" spans="1:9" x14ac:dyDescent="0.35">
      <c r="A134" s="1" t="s">
        <v>174</v>
      </c>
      <c r="B134" s="2" t="s">
        <v>98</v>
      </c>
      <c r="C134" s="2" t="str">
        <f>HYPERLINK("https://team-fn99.testit.software/projects/1/tests/135", "Редактирование самого себя - успешное")</f>
        <v>Редактирование самого себя - успешное</v>
      </c>
      <c r="D134" s="1" t="s">
        <v>11</v>
      </c>
      <c r="E134" s="1" t="s">
        <v>11</v>
      </c>
      <c r="F134" s="1" t="s">
        <v>11</v>
      </c>
      <c r="G134" s="1" t="s">
        <v>11</v>
      </c>
      <c r="H134" s="1" t="s">
        <v>12</v>
      </c>
      <c r="I134" s="1" t="s">
        <v>13</v>
      </c>
    </row>
    <row r="135" spans="1:9" x14ac:dyDescent="0.35">
      <c r="A135" s="1" t="s">
        <v>11</v>
      </c>
      <c r="B135" s="2" t="s">
        <v>11</v>
      </c>
      <c r="C135" s="2" t="s">
        <v>11</v>
      </c>
      <c r="D135" s="1" t="s">
        <v>175</v>
      </c>
      <c r="E135" s="1" t="s">
        <v>11</v>
      </c>
      <c r="F135" s="1" t="s">
        <v>11</v>
      </c>
      <c r="G135" s="1" t="s">
        <v>11</v>
      </c>
      <c r="H135" s="1" t="s">
        <v>11</v>
      </c>
      <c r="I135" s="1" t="s">
        <v>11</v>
      </c>
    </row>
    <row r="136" spans="1:9" ht="43.5" x14ac:dyDescent="0.35">
      <c r="A136" s="1" t="s">
        <v>11</v>
      </c>
      <c r="B136" s="2" t="s">
        <v>11</v>
      </c>
      <c r="C136" s="2" t="s">
        <v>11</v>
      </c>
      <c r="D136" s="1" t="s">
        <v>11</v>
      </c>
      <c r="E136" s="2" t="s">
        <v>176</v>
      </c>
      <c r="F136" s="1" t="s">
        <v>11</v>
      </c>
      <c r="G136" s="2" t="s">
        <v>167</v>
      </c>
      <c r="H136" s="1" t="s">
        <v>11</v>
      </c>
      <c r="I136" s="1" t="s">
        <v>11</v>
      </c>
    </row>
    <row r="137" spans="1:9" x14ac:dyDescent="0.35">
      <c r="A137" s="1" t="s">
        <v>177</v>
      </c>
      <c r="B137" s="2" t="s">
        <v>98</v>
      </c>
      <c r="C137" s="2" t="str">
        <f>HYPERLINK("https://team-fn99.testit.software/projects/1/tests/122", "Удаление - успешное")</f>
        <v>Удаление - успешное</v>
      </c>
      <c r="D137" s="1" t="s">
        <v>11</v>
      </c>
      <c r="E137" s="1" t="s">
        <v>11</v>
      </c>
      <c r="F137" s="1" t="s">
        <v>11</v>
      </c>
      <c r="G137" s="1" t="s">
        <v>11</v>
      </c>
      <c r="H137" s="1" t="s">
        <v>12</v>
      </c>
      <c r="I137" s="1" t="s">
        <v>13</v>
      </c>
    </row>
    <row r="138" spans="1:9" x14ac:dyDescent="0.35">
      <c r="A138" s="1" t="s">
        <v>11</v>
      </c>
      <c r="B138" s="2" t="s">
        <v>11</v>
      </c>
      <c r="C138" s="2" t="s">
        <v>11</v>
      </c>
      <c r="D138" s="1" t="s">
        <v>165</v>
      </c>
      <c r="E138" s="1" t="s">
        <v>11</v>
      </c>
      <c r="F138" s="1" t="s">
        <v>11</v>
      </c>
      <c r="G138" s="1" t="s">
        <v>11</v>
      </c>
      <c r="H138" s="1" t="s">
        <v>11</v>
      </c>
      <c r="I138" s="1" t="s">
        <v>11</v>
      </c>
    </row>
    <row r="139" spans="1:9" ht="87" x14ac:dyDescent="0.35">
      <c r="A139" s="1" t="s">
        <v>11</v>
      </c>
      <c r="B139" s="2" t="s">
        <v>11</v>
      </c>
      <c r="C139" s="2" t="s">
        <v>11</v>
      </c>
      <c r="D139" s="1" t="s">
        <v>11</v>
      </c>
      <c r="E139" s="1" t="s">
        <v>178</v>
      </c>
      <c r="F139" s="1" t="s">
        <v>11</v>
      </c>
      <c r="G139" s="2" t="s">
        <v>179</v>
      </c>
      <c r="H139" s="1" t="s">
        <v>11</v>
      </c>
      <c r="I139" s="1" t="s">
        <v>11</v>
      </c>
    </row>
    <row r="140" spans="1:9" x14ac:dyDescent="0.35">
      <c r="A140" s="1" t="s">
        <v>180</v>
      </c>
      <c r="B140" s="2" t="s">
        <v>98</v>
      </c>
      <c r="C140" s="2" t="str">
        <f>HYPERLINK("https://team-fn99.testit.software/projects/1/tests/123", "Удаление - несуществующий пользователь")</f>
        <v>Удаление - несуществующий пользователь</v>
      </c>
      <c r="D140" s="1" t="s">
        <v>11</v>
      </c>
      <c r="E140" s="1" t="s">
        <v>11</v>
      </c>
      <c r="F140" s="1" t="s">
        <v>11</v>
      </c>
      <c r="G140" s="1" t="s">
        <v>11</v>
      </c>
      <c r="H140" s="1" t="s">
        <v>12</v>
      </c>
      <c r="I140" s="1" t="s">
        <v>13</v>
      </c>
    </row>
    <row r="141" spans="1:9" x14ac:dyDescent="0.35">
      <c r="A141" s="1" t="s">
        <v>11</v>
      </c>
      <c r="B141" s="2" t="s">
        <v>11</v>
      </c>
      <c r="C141" s="2" t="s">
        <v>11</v>
      </c>
      <c r="D141" s="1" t="s">
        <v>143</v>
      </c>
      <c r="E141" s="1" t="s">
        <v>11</v>
      </c>
      <c r="F141" s="1" t="s">
        <v>11</v>
      </c>
      <c r="G141" s="1" t="s">
        <v>11</v>
      </c>
      <c r="H141" s="1" t="s">
        <v>11</v>
      </c>
      <c r="I141" s="1" t="s">
        <v>11</v>
      </c>
    </row>
    <row r="142" spans="1:9" ht="29" x14ac:dyDescent="0.35">
      <c r="A142" s="1" t="s">
        <v>11</v>
      </c>
      <c r="B142" s="2" t="s">
        <v>11</v>
      </c>
      <c r="C142" s="2" t="s">
        <v>11</v>
      </c>
      <c r="D142" s="1" t="s">
        <v>11</v>
      </c>
      <c r="E142" s="1" t="s">
        <v>181</v>
      </c>
      <c r="F142" s="1" t="s">
        <v>11</v>
      </c>
      <c r="G142" s="2" t="s">
        <v>182</v>
      </c>
      <c r="H142" s="1" t="s">
        <v>11</v>
      </c>
      <c r="I142" s="1" t="s">
        <v>11</v>
      </c>
    </row>
    <row r="143" spans="1:9" x14ac:dyDescent="0.35">
      <c r="A143" s="1" t="s">
        <v>183</v>
      </c>
      <c r="B143" s="2" t="s">
        <v>98</v>
      </c>
      <c r="C143" s="2" t="str">
        <f>HYPERLINK("https://team-fn99.testit.software/projects/1/tests/124", "Удаление - обычный пользователь")</f>
        <v>Удаление - обычный пользователь</v>
      </c>
      <c r="D143" s="1" t="s">
        <v>11</v>
      </c>
      <c r="E143" s="1" t="s">
        <v>11</v>
      </c>
      <c r="F143" s="1" t="s">
        <v>11</v>
      </c>
      <c r="G143" s="1" t="s">
        <v>11</v>
      </c>
      <c r="H143" s="1" t="s">
        <v>12</v>
      </c>
      <c r="I143" s="1" t="s">
        <v>13</v>
      </c>
    </row>
    <row r="144" spans="1:9" x14ac:dyDescent="0.35">
      <c r="A144" s="1" t="s">
        <v>11</v>
      </c>
      <c r="B144" s="2" t="s">
        <v>11</v>
      </c>
      <c r="C144" s="2" t="s">
        <v>11</v>
      </c>
      <c r="D144" s="1" t="s">
        <v>149</v>
      </c>
      <c r="E144" s="1" t="s">
        <v>11</v>
      </c>
      <c r="F144" s="1" t="s">
        <v>11</v>
      </c>
      <c r="G144" s="1" t="s">
        <v>11</v>
      </c>
      <c r="H144" s="1" t="s">
        <v>11</v>
      </c>
      <c r="I144" s="1" t="s">
        <v>11</v>
      </c>
    </row>
    <row r="145" spans="1:9" ht="29" x14ac:dyDescent="0.35">
      <c r="A145" s="1" t="s">
        <v>11</v>
      </c>
      <c r="B145" s="2" t="s">
        <v>11</v>
      </c>
      <c r="C145" s="2" t="s">
        <v>11</v>
      </c>
      <c r="D145" s="1" t="s">
        <v>11</v>
      </c>
      <c r="E145" s="1" t="s">
        <v>184</v>
      </c>
      <c r="F145" s="1" t="s">
        <v>11</v>
      </c>
      <c r="G145" s="2" t="s">
        <v>185</v>
      </c>
      <c r="H145" s="1" t="s">
        <v>11</v>
      </c>
      <c r="I145" s="1" t="s">
        <v>11</v>
      </c>
    </row>
    <row r="146" spans="1:9" x14ac:dyDescent="0.35">
      <c r="A146" s="1" t="s">
        <v>186</v>
      </c>
      <c r="B146" s="2" t="s">
        <v>98</v>
      </c>
      <c r="C146" s="2" t="str">
        <f>HYPERLINK("https://team-fn99.testit.software/projects/1/tests/136", "Удаление самого себя супер админом - ошибка")</f>
        <v>Удаление самого себя супер админом - ошибка</v>
      </c>
      <c r="D146" s="1" t="s">
        <v>11</v>
      </c>
      <c r="E146" s="1" t="s">
        <v>11</v>
      </c>
      <c r="F146" s="1" t="s">
        <v>11</v>
      </c>
      <c r="G146" s="1" t="s">
        <v>11</v>
      </c>
      <c r="H146" s="1" t="s">
        <v>12</v>
      </c>
      <c r="I146" s="1" t="s">
        <v>13</v>
      </c>
    </row>
    <row r="147" spans="1:9" x14ac:dyDescent="0.35">
      <c r="A147" s="1" t="s">
        <v>11</v>
      </c>
      <c r="B147" s="2" t="s">
        <v>11</v>
      </c>
      <c r="C147" s="2" t="s">
        <v>11</v>
      </c>
      <c r="D147" s="1" t="s">
        <v>143</v>
      </c>
      <c r="E147" s="1" t="s">
        <v>11</v>
      </c>
      <c r="F147" s="1" t="s">
        <v>11</v>
      </c>
      <c r="G147" s="1" t="s">
        <v>11</v>
      </c>
      <c r="H147" s="1" t="s">
        <v>11</v>
      </c>
      <c r="I147" s="1" t="s">
        <v>11</v>
      </c>
    </row>
    <row r="148" spans="1:9" x14ac:dyDescent="0.35">
      <c r="A148" s="1" t="s">
        <v>11</v>
      </c>
      <c r="B148" s="2" t="s">
        <v>11</v>
      </c>
      <c r="C148" s="2" t="s">
        <v>11</v>
      </c>
      <c r="D148" s="1" t="s">
        <v>11</v>
      </c>
      <c r="E148" s="1" t="s">
        <v>187</v>
      </c>
      <c r="F148" s="1" t="s">
        <v>11</v>
      </c>
      <c r="G148" s="1" t="s">
        <v>141</v>
      </c>
      <c r="H148" s="1" t="s">
        <v>11</v>
      </c>
      <c r="I148" s="1" t="s">
        <v>11</v>
      </c>
    </row>
    <row r="149" spans="1:9" x14ac:dyDescent="0.35">
      <c r="A149" s="1" t="s">
        <v>188</v>
      </c>
      <c r="B149" s="2" t="s">
        <v>98</v>
      </c>
      <c r="C149" s="2" t="str">
        <f>HYPERLINK("https://team-fn99.testit.software/projects/1/tests/137", "Авторизация - email в другом регистре")</f>
        <v>Авторизация - email в другом регистре</v>
      </c>
      <c r="D149" s="1" t="s">
        <v>11</v>
      </c>
      <c r="E149" s="1" t="s">
        <v>11</v>
      </c>
      <c r="F149" s="1" t="s">
        <v>11</v>
      </c>
      <c r="G149" s="1" t="s">
        <v>11</v>
      </c>
      <c r="H149" s="1" t="s">
        <v>12</v>
      </c>
      <c r="I149" s="1" t="s">
        <v>13</v>
      </c>
    </row>
    <row r="150" spans="1:9" ht="43.5" x14ac:dyDescent="0.35">
      <c r="A150" s="1" t="s">
        <v>11</v>
      </c>
      <c r="B150" s="2" t="s">
        <v>11</v>
      </c>
      <c r="C150" s="2" t="s">
        <v>11</v>
      </c>
      <c r="D150" s="2" t="s">
        <v>129</v>
      </c>
      <c r="E150" s="1" t="s">
        <v>11</v>
      </c>
      <c r="F150" s="1" t="s">
        <v>11</v>
      </c>
      <c r="G150" s="1" t="s">
        <v>11</v>
      </c>
      <c r="H150" s="1" t="s">
        <v>11</v>
      </c>
      <c r="I150" s="1" t="s">
        <v>11</v>
      </c>
    </row>
    <row r="151" spans="1:9" ht="72.5" x14ac:dyDescent="0.35">
      <c r="A151" s="1" t="s">
        <v>11</v>
      </c>
      <c r="B151" s="2" t="s">
        <v>11</v>
      </c>
      <c r="C151" s="2" t="s">
        <v>11</v>
      </c>
      <c r="D151" s="1" t="s">
        <v>11</v>
      </c>
      <c r="E151" s="2" t="s">
        <v>189</v>
      </c>
      <c r="F151" s="1" t="s">
        <v>11</v>
      </c>
      <c r="G151" s="2" t="s">
        <v>131</v>
      </c>
      <c r="H151" s="1" t="s">
        <v>11</v>
      </c>
      <c r="I151" s="1" t="s">
        <v>11</v>
      </c>
    </row>
    <row r="152" spans="1:9" x14ac:dyDescent="0.35">
      <c r="A152" s="1" t="s">
        <v>190</v>
      </c>
      <c r="B152" s="2" t="s">
        <v>98</v>
      </c>
      <c r="C152" s="2" t="str">
        <f>HYPERLINK("https://team-fn99.testit.software/projects/1/tests/138", "Регистрация - c email в другом регистре")</f>
        <v>Регистрация - c email в другом регистре</v>
      </c>
      <c r="D152" s="1" t="s">
        <v>11</v>
      </c>
      <c r="E152" s="1" t="s">
        <v>11</v>
      </c>
      <c r="F152" s="1" t="s">
        <v>11</v>
      </c>
      <c r="G152" s="1" t="s">
        <v>11</v>
      </c>
      <c r="H152" s="1" t="s">
        <v>99</v>
      </c>
      <c r="I152" s="1" t="s">
        <v>13</v>
      </c>
    </row>
    <row r="153" spans="1:9" ht="43.5" x14ac:dyDescent="0.35">
      <c r="A153" s="1" t="s">
        <v>11</v>
      </c>
      <c r="B153" s="2" t="s">
        <v>11</v>
      </c>
      <c r="C153" s="2" t="s">
        <v>11</v>
      </c>
      <c r="D153" s="2" t="s">
        <v>191</v>
      </c>
      <c r="E153" s="1" t="s">
        <v>11</v>
      </c>
      <c r="F153" s="1" t="s">
        <v>11</v>
      </c>
      <c r="G153" s="1" t="s">
        <v>11</v>
      </c>
      <c r="H153" s="1" t="s">
        <v>11</v>
      </c>
      <c r="I153" s="1" t="s">
        <v>11</v>
      </c>
    </row>
    <row r="154" spans="1:9" ht="130.5" x14ac:dyDescent="0.35">
      <c r="A154" s="1" t="s">
        <v>11</v>
      </c>
      <c r="B154" s="2" t="s">
        <v>11</v>
      </c>
      <c r="C154" s="2" t="s">
        <v>11</v>
      </c>
      <c r="D154" s="1" t="s">
        <v>11</v>
      </c>
      <c r="E154" s="2" t="s">
        <v>192</v>
      </c>
      <c r="F154" s="1" t="s">
        <v>11</v>
      </c>
      <c r="G154" s="2" t="s">
        <v>193</v>
      </c>
      <c r="H154" s="1" t="s">
        <v>11</v>
      </c>
      <c r="I154" s="1" t="s">
        <v>11</v>
      </c>
    </row>
    <row r="155" spans="1:9" ht="58" x14ac:dyDescent="0.35">
      <c r="A155" s="1" t="s">
        <v>11</v>
      </c>
      <c r="B155" s="2" t="s">
        <v>11</v>
      </c>
      <c r="C155" s="2" t="s">
        <v>11</v>
      </c>
      <c r="D155" s="1" t="s">
        <v>11</v>
      </c>
      <c r="E155" s="2" t="s">
        <v>102</v>
      </c>
      <c r="F155" s="1" t="s">
        <v>11</v>
      </c>
      <c r="G155" s="1" t="s">
        <v>194</v>
      </c>
      <c r="H155" s="1" t="s">
        <v>11</v>
      </c>
      <c r="I155" s="1" t="s">
        <v>11</v>
      </c>
    </row>
    <row r="156" spans="1:9" x14ac:dyDescent="0.35">
      <c r="A156" s="1" t="s">
        <v>195</v>
      </c>
      <c r="B156" s="2" t="s">
        <v>98</v>
      </c>
      <c r="C156" s="2" t="str">
        <f>HYPERLINK("https://team-fn99.testit.software/projects/1/tests/139", "Повышение - супер админ сам себя")</f>
        <v>Повышение - супер админ сам себя</v>
      </c>
      <c r="D156" s="1" t="s">
        <v>11</v>
      </c>
      <c r="E156" s="1" t="s">
        <v>11</v>
      </c>
      <c r="F156" s="1" t="s">
        <v>11</v>
      </c>
      <c r="G156" s="1" t="s">
        <v>11</v>
      </c>
      <c r="H156" s="1" t="s">
        <v>12</v>
      </c>
      <c r="I156" s="1" t="s">
        <v>13</v>
      </c>
    </row>
    <row r="157" spans="1:9" ht="58" x14ac:dyDescent="0.35">
      <c r="A157" s="1" t="s">
        <v>11</v>
      </c>
      <c r="B157" s="2" t="s">
        <v>11</v>
      </c>
      <c r="C157" s="2" t="s">
        <v>11</v>
      </c>
      <c r="D157" s="2" t="s">
        <v>196</v>
      </c>
      <c r="E157" s="1" t="s">
        <v>11</v>
      </c>
      <c r="F157" s="1" t="s">
        <v>11</v>
      </c>
      <c r="G157" s="1" t="s">
        <v>11</v>
      </c>
      <c r="H157" s="1" t="s">
        <v>11</v>
      </c>
      <c r="I157" s="1" t="s">
        <v>11</v>
      </c>
    </row>
    <row r="158" spans="1:9" x14ac:dyDescent="0.35">
      <c r="A158" s="1" t="s">
        <v>11</v>
      </c>
      <c r="B158" s="2" t="s">
        <v>11</v>
      </c>
      <c r="C158" s="2" t="s">
        <v>11</v>
      </c>
      <c r="D158" s="1" t="s">
        <v>11</v>
      </c>
      <c r="E158" s="1" t="s">
        <v>197</v>
      </c>
      <c r="F158" s="1" t="s">
        <v>11</v>
      </c>
      <c r="G158" s="1" t="s">
        <v>198</v>
      </c>
      <c r="H158" s="1" t="s">
        <v>11</v>
      </c>
      <c r="I158" s="1" t="s">
        <v>11</v>
      </c>
    </row>
    <row r="159" spans="1:9" x14ac:dyDescent="0.35">
      <c r="A159" s="1" t="s">
        <v>199</v>
      </c>
      <c r="B159" s="2" t="s">
        <v>98</v>
      </c>
      <c r="C159" s="2" t="str">
        <f>HYPERLINK("https://team-fn99.testit.software/projects/1/tests/140", "Редактирование юзера - имя больше 50 символов")</f>
        <v>Редактирование юзера - имя больше 50 символов</v>
      </c>
      <c r="D159" s="1" t="s">
        <v>11</v>
      </c>
      <c r="E159" s="1" t="s">
        <v>11</v>
      </c>
      <c r="F159" s="1" t="s">
        <v>11</v>
      </c>
      <c r="G159" s="1" t="s">
        <v>11</v>
      </c>
      <c r="H159" s="1" t="s">
        <v>105</v>
      </c>
      <c r="I159" s="1" t="s">
        <v>13</v>
      </c>
    </row>
    <row r="160" spans="1:9" ht="72.5" x14ac:dyDescent="0.35">
      <c r="A160" s="1" t="s">
        <v>11</v>
      </c>
      <c r="B160" s="2" t="s">
        <v>11</v>
      </c>
      <c r="C160" s="2" t="s">
        <v>11</v>
      </c>
      <c r="D160" s="1" t="s">
        <v>11</v>
      </c>
      <c r="E160" s="2" t="s">
        <v>200</v>
      </c>
      <c r="F160" s="1" t="s">
        <v>11</v>
      </c>
      <c r="G160" s="1" t="s">
        <v>117</v>
      </c>
      <c r="H160" s="1" t="s">
        <v>11</v>
      </c>
      <c r="I160" s="1" t="s">
        <v>11</v>
      </c>
    </row>
    <row r="161" spans="1:9" ht="58" x14ac:dyDescent="0.35">
      <c r="A161" s="1" t="s">
        <v>11</v>
      </c>
      <c r="B161" s="2" t="s">
        <v>11</v>
      </c>
      <c r="C161" s="2" t="s">
        <v>11</v>
      </c>
      <c r="D161" s="1" t="s">
        <v>11</v>
      </c>
      <c r="E161" s="2" t="s">
        <v>102</v>
      </c>
      <c r="F161" s="1" t="s">
        <v>11</v>
      </c>
      <c r="G161" s="1" t="s">
        <v>118</v>
      </c>
      <c r="H161" s="1" t="s">
        <v>11</v>
      </c>
      <c r="I161" s="1" t="s">
        <v>11</v>
      </c>
    </row>
    <row r="162" spans="1:9" x14ac:dyDescent="0.35">
      <c r="A162" s="1" t="s">
        <v>201</v>
      </c>
      <c r="B162" s="2" t="s">
        <v>98</v>
      </c>
      <c r="C162" s="2" t="str">
        <f>HYPERLINK("https://team-fn99.testit.software/projects/1/tests/141", "Редактирование юзера - email принадлежит другому")</f>
        <v>Редактирование юзера - email принадлежит другому</v>
      </c>
      <c r="D162" s="1" t="s">
        <v>11</v>
      </c>
      <c r="E162" s="1" t="s">
        <v>11</v>
      </c>
      <c r="F162" s="1" t="s">
        <v>11</v>
      </c>
      <c r="G162" s="1" t="s">
        <v>11</v>
      </c>
      <c r="H162" s="1" t="s">
        <v>105</v>
      </c>
      <c r="I162" s="1" t="s">
        <v>13</v>
      </c>
    </row>
    <row r="163" spans="1:9" ht="29" x14ac:dyDescent="0.35">
      <c r="A163" s="1" t="s">
        <v>11</v>
      </c>
      <c r="B163" s="2" t="s">
        <v>11</v>
      </c>
      <c r="C163" s="2" t="s">
        <v>11</v>
      </c>
      <c r="D163" s="2" t="s">
        <v>202</v>
      </c>
      <c r="E163" s="1" t="s">
        <v>11</v>
      </c>
      <c r="F163" s="1" t="s">
        <v>11</v>
      </c>
      <c r="G163" s="1" t="s">
        <v>11</v>
      </c>
      <c r="H163" s="1" t="s">
        <v>11</v>
      </c>
      <c r="I163" s="1" t="s">
        <v>11</v>
      </c>
    </row>
    <row r="164" spans="1:9" ht="72.5" x14ac:dyDescent="0.35">
      <c r="A164" s="1" t="s">
        <v>11</v>
      </c>
      <c r="B164" s="2" t="s">
        <v>11</v>
      </c>
      <c r="C164" s="2" t="s">
        <v>11</v>
      </c>
      <c r="D164" s="1" t="s">
        <v>11</v>
      </c>
      <c r="E164" s="2" t="s">
        <v>203</v>
      </c>
      <c r="F164" s="1" t="s">
        <v>11</v>
      </c>
      <c r="G164" s="1" t="s">
        <v>204</v>
      </c>
      <c r="H164" s="1" t="s">
        <v>11</v>
      </c>
      <c r="I164" s="1" t="s">
        <v>11</v>
      </c>
    </row>
    <row r="165" spans="1:9" ht="58" x14ac:dyDescent="0.35">
      <c r="A165" s="1" t="s">
        <v>11</v>
      </c>
      <c r="B165" s="2" t="s">
        <v>11</v>
      </c>
      <c r="C165" s="2" t="s">
        <v>11</v>
      </c>
      <c r="D165" s="1" t="s">
        <v>11</v>
      </c>
      <c r="E165" s="2" t="s">
        <v>102</v>
      </c>
      <c r="F165" s="1" t="s">
        <v>11</v>
      </c>
      <c r="G165" s="1" t="s">
        <v>205</v>
      </c>
      <c r="H165" s="1" t="s">
        <v>11</v>
      </c>
      <c r="I165" s="1" t="s">
        <v>11</v>
      </c>
    </row>
    <row r="166" spans="1:9" x14ac:dyDescent="0.35">
      <c r="A166" s="1" t="s">
        <v>206</v>
      </c>
      <c r="B166" s="2" t="s">
        <v>98</v>
      </c>
      <c r="C166" s="2" t="str">
        <f>HYPERLINK("https://team-fn99.testit.software/projects/1/tests/142", "Редактирование юзера - email не валидный")</f>
        <v>Редактирование юзера - email не валидный</v>
      </c>
      <c r="D166" s="1" t="s">
        <v>11</v>
      </c>
      <c r="E166" s="1" t="s">
        <v>11</v>
      </c>
      <c r="F166" s="1" t="s">
        <v>11</v>
      </c>
      <c r="G166" s="1" t="s">
        <v>11</v>
      </c>
      <c r="H166" s="1" t="s">
        <v>105</v>
      </c>
      <c r="I166" s="1" t="s">
        <v>13</v>
      </c>
    </row>
    <row r="167" spans="1:9" ht="29" x14ac:dyDescent="0.35">
      <c r="A167" s="1" t="s">
        <v>11</v>
      </c>
      <c r="B167" s="2" t="s">
        <v>11</v>
      </c>
      <c r="C167" s="2" t="s">
        <v>11</v>
      </c>
      <c r="D167" s="2" t="s">
        <v>202</v>
      </c>
      <c r="E167" s="1" t="s">
        <v>11</v>
      </c>
      <c r="F167" s="1" t="s">
        <v>11</v>
      </c>
      <c r="G167" s="1" t="s">
        <v>11</v>
      </c>
      <c r="H167" s="1" t="s">
        <v>11</v>
      </c>
      <c r="I167" s="1" t="s">
        <v>11</v>
      </c>
    </row>
    <row r="168" spans="1:9" ht="72.5" x14ac:dyDescent="0.35">
      <c r="A168" s="1" t="s">
        <v>11</v>
      </c>
      <c r="B168" s="2" t="s">
        <v>11</v>
      </c>
      <c r="C168" s="2" t="s">
        <v>11</v>
      </c>
      <c r="D168" s="1" t="s">
        <v>11</v>
      </c>
      <c r="E168" s="2" t="s">
        <v>207</v>
      </c>
      <c r="F168" s="1" t="s">
        <v>11</v>
      </c>
      <c r="G168" s="2" t="s">
        <v>208</v>
      </c>
      <c r="H168" s="1" t="s">
        <v>11</v>
      </c>
      <c r="I168" s="1" t="s">
        <v>11</v>
      </c>
    </row>
    <row r="169" spans="1:9" ht="58" x14ac:dyDescent="0.35">
      <c r="A169" s="1" t="s">
        <v>11</v>
      </c>
      <c r="B169" s="2" t="s">
        <v>11</v>
      </c>
      <c r="C169" s="2" t="s">
        <v>11</v>
      </c>
      <c r="D169" s="1" t="s">
        <v>11</v>
      </c>
      <c r="E169" s="2" t="s">
        <v>102</v>
      </c>
      <c r="F169" s="1" t="s">
        <v>11</v>
      </c>
      <c r="G169" s="1" t="s">
        <v>205</v>
      </c>
      <c r="H169" s="1" t="s">
        <v>11</v>
      </c>
      <c r="I169" s="1" t="s">
        <v>11</v>
      </c>
    </row>
    <row r="170" spans="1:9" x14ac:dyDescent="0.35">
      <c r="A170" s="1" t="s">
        <v>209</v>
      </c>
      <c r="B170" s="2" t="s">
        <v>98</v>
      </c>
      <c r="C170" s="2" t="str">
        <f>HYPERLINK("https://team-fn99.testit.software/projects/1/tests/144", "Регистрация - пароль 6 пробелов")</f>
        <v>Регистрация - пароль 6 пробелов</v>
      </c>
      <c r="D170" s="1" t="s">
        <v>11</v>
      </c>
      <c r="E170" s="1" t="s">
        <v>11</v>
      </c>
      <c r="F170" s="1" t="s">
        <v>11</v>
      </c>
      <c r="G170" s="1" t="s">
        <v>11</v>
      </c>
      <c r="H170" s="1" t="s">
        <v>12</v>
      </c>
      <c r="I170" s="1" t="s">
        <v>13</v>
      </c>
    </row>
    <row r="171" spans="1:9" ht="101.5" x14ac:dyDescent="0.35">
      <c r="A171" s="1" t="s">
        <v>11</v>
      </c>
      <c r="B171" s="2" t="s">
        <v>11</v>
      </c>
      <c r="C171" s="2" t="s">
        <v>11</v>
      </c>
      <c r="D171" s="1" t="s">
        <v>11</v>
      </c>
      <c r="E171" s="2" t="s">
        <v>210</v>
      </c>
      <c r="F171" s="1" t="s">
        <v>11</v>
      </c>
      <c r="G171" s="2" t="s">
        <v>113</v>
      </c>
      <c r="H171" s="1" t="s">
        <v>11</v>
      </c>
      <c r="I171" s="1" t="s">
        <v>11</v>
      </c>
    </row>
    <row r="172" spans="1:9" ht="58" x14ac:dyDescent="0.35">
      <c r="A172" s="1" t="s">
        <v>11</v>
      </c>
      <c r="B172" s="2" t="s">
        <v>11</v>
      </c>
      <c r="C172" s="2" t="s">
        <v>11</v>
      </c>
      <c r="D172" s="1" t="s">
        <v>11</v>
      </c>
      <c r="E172" s="2" t="s">
        <v>102</v>
      </c>
      <c r="F172" s="1" t="s">
        <v>11</v>
      </c>
      <c r="G172" s="1" t="s">
        <v>114</v>
      </c>
      <c r="H172" s="1" t="s">
        <v>11</v>
      </c>
      <c r="I172" s="1" t="s">
        <v>11</v>
      </c>
    </row>
    <row r="173" spans="1:9" x14ac:dyDescent="0.35">
      <c r="A173" s="1" t="s">
        <v>211</v>
      </c>
      <c r="B173" s="2" t="s">
        <v>98</v>
      </c>
      <c r="C173" s="2" t="str">
        <f>HYPERLINK("https://team-fn99.testit.software/projects/1/tests/145", "Редактирование юзера - имя из пробелов")</f>
        <v>Редактирование юзера - имя из пробелов</v>
      </c>
      <c r="D173" s="1" t="s">
        <v>11</v>
      </c>
      <c r="E173" s="1" t="s">
        <v>11</v>
      </c>
      <c r="F173" s="1" t="s">
        <v>11</v>
      </c>
      <c r="G173" s="1" t="s">
        <v>11</v>
      </c>
      <c r="H173" s="1" t="s">
        <v>105</v>
      </c>
      <c r="I173" s="1" t="s">
        <v>13</v>
      </c>
    </row>
    <row r="174" spans="1:9" ht="72.5" x14ac:dyDescent="0.35">
      <c r="A174" s="1" t="s">
        <v>11</v>
      </c>
      <c r="B174" s="2" t="s">
        <v>11</v>
      </c>
      <c r="C174" s="2" t="s">
        <v>11</v>
      </c>
      <c r="D174" s="1" t="s">
        <v>11</v>
      </c>
      <c r="E174" s="2" t="s">
        <v>212</v>
      </c>
      <c r="F174" s="1" t="s">
        <v>11</v>
      </c>
      <c r="G174" s="1" t="s">
        <v>117</v>
      </c>
      <c r="H174" s="1" t="s">
        <v>11</v>
      </c>
      <c r="I174" s="1" t="s">
        <v>11</v>
      </c>
    </row>
    <row r="175" spans="1:9" ht="58" x14ac:dyDescent="0.35">
      <c r="A175" s="1" t="s">
        <v>11</v>
      </c>
      <c r="B175" s="2" t="s">
        <v>11</v>
      </c>
      <c r="C175" s="2" t="s">
        <v>11</v>
      </c>
      <c r="D175" s="1" t="s">
        <v>11</v>
      </c>
      <c r="E175" s="2" t="s">
        <v>102</v>
      </c>
      <c r="F175" s="1" t="s">
        <v>11</v>
      </c>
      <c r="G175" s="1" t="s">
        <v>118</v>
      </c>
      <c r="H175" s="1" t="s">
        <v>11</v>
      </c>
      <c r="I175" s="1" t="s">
        <v>11</v>
      </c>
    </row>
    <row r="176" spans="1:9" x14ac:dyDescent="0.35">
      <c r="A176" s="1" t="s">
        <v>213</v>
      </c>
      <c r="B176" s="2" t="s">
        <v>98</v>
      </c>
      <c r="C176" s="2" t="str">
        <f>HYPERLINK("https://team-fn99.testit.software/projects/1/tests/146", "Редактирование юзера - имя пустое")</f>
        <v>Редактирование юзера - имя пустое</v>
      </c>
      <c r="D176" s="1" t="s">
        <v>11</v>
      </c>
      <c r="E176" s="1" t="s">
        <v>11</v>
      </c>
      <c r="F176" s="1" t="s">
        <v>11</v>
      </c>
      <c r="G176" s="1" t="s">
        <v>11</v>
      </c>
      <c r="H176" s="1" t="s">
        <v>105</v>
      </c>
      <c r="I176" s="1" t="s">
        <v>13</v>
      </c>
    </row>
    <row r="177" spans="1:9" ht="72.5" x14ac:dyDescent="0.35">
      <c r="A177" s="1" t="s">
        <v>11</v>
      </c>
      <c r="B177" s="2" t="s">
        <v>11</v>
      </c>
      <c r="C177" s="2" t="s">
        <v>11</v>
      </c>
      <c r="D177" s="1" t="s">
        <v>11</v>
      </c>
      <c r="E177" s="2" t="s">
        <v>214</v>
      </c>
      <c r="F177" s="1" t="s">
        <v>11</v>
      </c>
      <c r="G177" s="1" t="s">
        <v>117</v>
      </c>
      <c r="H177" s="1" t="s">
        <v>11</v>
      </c>
      <c r="I177" s="1" t="s">
        <v>11</v>
      </c>
    </row>
    <row r="178" spans="1:9" ht="58" x14ac:dyDescent="0.35">
      <c r="A178" s="1" t="s">
        <v>11</v>
      </c>
      <c r="B178" s="2" t="s">
        <v>11</v>
      </c>
      <c r="C178" s="2" t="s">
        <v>11</v>
      </c>
      <c r="D178" s="1" t="s">
        <v>11</v>
      </c>
      <c r="E178" s="2" t="s">
        <v>102</v>
      </c>
      <c r="F178" s="1" t="s">
        <v>11</v>
      </c>
      <c r="G178" s="1" t="s">
        <v>118</v>
      </c>
      <c r="H178" s="1" t="s">
        <v>11</v>
      </c>
      <c r="I178" s="1" t="s">
        <v>11</v>
      </c>
    </row>
    <row r="179" spans="1:9" x14ac:dyDescent="0.35">
      <c r="A179" s="1" t="s">
        <v>215</v>
      </c>
      <c r="B179" s="2" t="s">
        <v>98</v>
      </c>
      <c r="C179" s="2" t="str">
        <f>HYPERLINK("https://team-fn99.testit.software/projects/1/tests/147", "Редактирование юзера - не указан user_id")</f>
        <v>Редактирование юзера - не указан user_id</v>
      </c>
      <c r="D179" s="1" t="s">
        <v>11</v>
      </c>
      <c r="E179" s="1" t="s">
        <v>11</v>
      </c>
      <c r="F179" s="1" t="s">
        <v>11</v>
      </c>
      <c r="G179" s="1" t="s">
        <v>11</v>
      </c>
      <c r="H179" s="1" t="s">
        <v>105</v>
      </c>
      <c r="I179" s="1" t="s">
        <v>13</v>
      </c>
    </row>
    <row r="180" spans="1:9" ht="87" x14ac:dyDescent="0.35">
      <c r="A180" s="1" t="s">
        <v>11</v>
      </c>
      <c r="B180" s="2" t="s">
        <v>11</v>
      </c>
      <c r="C180" s="2" t="s">
        <v>11</v>
      </c>
      <c r="D180" s="1" t="s">
        <v>11</v>
      </c>
      <c r="E180" s="2" t="s">
        <v>216</v>
      </c>
      <c r="F180" s="1" t="s">
        <v>11</v>
      </c>
      <c r="G180" s="1" t="s">
        <v>217</v>
      </c>
      <c r="H180" s="1" t="s">
        <v>11</v>
      </c>
      <c r="I180" s="1" t="s">
        <v>11</v>
      </c>
    </row>
    <row r="181" spans="1:9" ht="58" x14ac:dyDescent="0.35">
      <c r="A181" s="1" t="s">
        <v>11</v>
      </c>
      <c r="B181" s="2" t="s">
        <v>11</v>
      </c>
      <c r="C181" s="2" t="s">
        <v>11</v>
      </c>
      <c r="D181" s="1" t="s">
        <v>11</v>
      </c>
      <c r="E181" s="2" t="s">
        <v>102</v>
      </c>
      <c r="F181" s="1" t="s">
        <v>11</v>
      </c>
      <c r="G181" s="1" t="s">
        <v>118</v>
      </c>
      <c r="H181" s="1" t="s">
        <v>11</v>
      </c>
      <c r="I181" s="1" t="s">
        <v>11</v>
      </c>
    </row>
    <row r="182" spans="1:9" x14ac:dyDescent="0.35">
      <c r="A182" s="1" t="s">
        <v>11</v>
      </c>
      <c r="B182" s="2" t="s">
        <v>11</v>
      </c>
      <c r="C182" s="2" t="s">
        <v>11</v>
      </c>
      <c r="D182" s="1" t="s">
        <v>11</v>
      </c>
      <c r="E182" s="1" t="s">
        <v>11</v>
      </c>
      <c r="F182" s="1" t="s">
        <v>11</v>
      </c>
      <c r="G182" s="1" t="s">
        <v>11</v>
      </c>
      <c r="H182" s="1" t="s">
        <v>11</v>
      </c>
      <c r="I182" s="1" t="s">
        <v>11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Project_store manager релиз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Евгений Прокашев</cp:lastModifiedBy>
  <dcterms:created xsi:type="dcterms:W3CDTF">2026-05-19T12:53:42Z</dcterms:created>
  <dcterms:modified xsi:type="dcterms:W3CDTF">2026-05-20T17:21:58Z</dcterms:modified>
</cp:coreProperties>
</file>